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BRIDGE_ADRD\"/>
    </mc:Choice>
  </mc:AlternateContent>
  <xr:revisionPtr revIDLastSave="0" documentId="13_ncr:1_{2ACA1CD9-143D-4E22-A2EF-44F04D335FD6}" xr6:coauthVersionLast="47" xr6:coauthVersionMax="47" xr10:uidLastSave="{00000000-0000-0000-0000-000000000000}"/>
  <bookViews>
    <workbookView xWindow="-105" yWindow="0" windowWidth="14610" windowHeight="15585" firstSheet="6" activeTab="7" xr2:uid="{00000000-000D-0000-FFFF-FFFF00000000}"/>
  </bookViews>
  <sheets>
    <sheet name="Table1" sheetId="1" r:id="rId1"/>
    <sheet name="Table2" sheetId="21" r:id="rId2"/>
    <sheet name="Figure3" sheetId="22" r:id="rId3"/>
    <sheet name="Figure4" sheetId="23" r:id="rId4"/>
    <sheet name="Figure4_raw" sheetId="10" r:id="rId5"/>
    <sheet name="Figure5" sheetId="13" r:id="rId6"/>
    <sheet name="Figure5_raw" sheetId="20" r:id="rId7"/>
    <sheet name="Table3_AB" sheetId="18" r:id="rId8"/>
    <sheet name="AB_topK_CLS_raw" sheetId="16" r:id="rId9"/>
  </sheets>
  <definedNames>
    <definedName name="_xlnm._FilterDatabase" localSheetId="8" hidden="1">AB_topK_CLS_raw!$A$1:$AC$37</definedName>
    <definedName name="_xlnm._FilterDatabase" localSheetId="4" hidden="1">Figure4_raw!$A$1:$AM$31</definedName>
    <definedName name="_xlnm._FilterDatabase" localSheetId="5" hidden="1">Figure5!#REF!</definedName>
    <definedName name="_xlnm._FilterDatabase" localSheetId="6" hidden="1">Figure5_raw!$A$1:$AC$295</definedName>
    <definedName name="_xlnm._FilterDatabase" localSheetId="7" hidden="1">Table3_AB!#REF!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8" i="16" l="1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4" i="16"/>
  <c r="AC55" i="16"/>
  <c r="AC56" i="16"/>
  <c r="AC57" i="16"/>
  <c r="AC58" i="16"/>
  <c r="AC59" i="16"/>
  <c r="AC60" i="16"/>
  <c r="AC61" i="16"/>
  <c r="AC62" i="16"/>
  <c r="AC63" i="16"/>
  <c r="AC64" i="16"/>
  <c r="AC65" i="16"/>
  <c r="AC66" i="16"/>
  <c r="AC67" i="16"/>
  <c r="AC68" i="16"/>
  <c r="AC69" i="16"/>
  <c r="AC70" i="16"/>
  <c r="AC71" i="16"/>
  <c r="AC72" i="16"/>
  <c r="AC73" i="16"/>
  <c r="AC74" i="16"/>
  <c r="AC75" i="16"/>
  <c r="AC76" i="16"/>
  <c r="AC77" i="16"/>
  <c r="AC78" i="16"/>
  <c r="AC79" i="16"/>
  <c r="AC80" i="16"/>
  <c r="AC81" i="16"/>
  <c r="AC82" i="16"/>
  <c r="AC83" i="16"/>
  <c r="AC84" i="16"/>
  <c r="AC85" i="16"/>
  <c r="AC86" i="16"/>
  <c r="AC87" i="16"/>
  <c r="AC88" i="16"/>
  <c r="AC89" i="16"/>
  <c r="AC90" i="16"/>
  <c r="AC91" i="16"/>
  <c r="AC92" i="16"/>
  <c r="AC93" i="16"/>
  <c r="AC94" i="16"/>
  <c r="AC95" i="16"/>
  <c r="AC96" i="16"/>
  <c r="AC97" i="16"/>
  <c r="AC98" i="16"/>
  <c r="AC99" i="16"/>
  <c r="AC100" i="16"/>
  <c r="AC101" i="16"/>
  <c r="AC102" i="16"/>
  <c r="AC103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1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4" i="16"/>
  <c r="X95" i="16"/>
  <c r="X96" i="16"/>
  <c r="X97" i="16"/>
  <c r="X98" i="16"/>
  <c r="X99" i="16"/>
  <c r="X100" i="16"/>
  <c r="X101" i="16"/>
  <c r="X102" i="16"/>
  <c r="X103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S100" i="16"/>
  <c r="S101" i="16"/>
  <c r="S102" i="16"/>
  <c r="S103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AC2" i="16"/>
  <c r="AC3" i="16"/>
  <c r="AC4" i="16"/>
  <c r="AC5" i="16"/>
  <c r="AC6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X2" i="16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S2" i="16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N2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I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</calcChain>
</file>

<file path=xl/sharedStrings.xml><?xml version="1.0" encoding="utf-8"?>
<sst xmlns="http://schemas.openxmlformats.org/spreadsheetml/2006/main" count="3320" uniqueCount="1346">
  <si>
    <t>Characteristic</t>
  </si>
  <si>
    <t xml:space="preserve">
Normal</t>
  </si>
  <si>
    <t>MCI</t>
  </si>
  <si>
    <t>Dementia</t>
  </si>
  <si>
    <t>Overall</t>
  </si>
  <si>
    <t>Sex – Female</t>
  </si>
  <si>
    <t>266 (63.3%)</t>
  </si>
  <si>
    <t>134 (57.0%)</t>
  </si>
  <si>
    <t>268 (49.9%)</t>
  </si>
  <si>
    <t>668 (56.0%)</t>
  </si>
  <si>
    <t>319 (76.0%)</t>
  </si>
  <si>
    <t>187 (79.6%)</t>
  </si>
  <si>
    <t>475 (88.5%)</t>
  </si>
  <si>
    <t>981 (82.3%)</t>
  </si>
  <si>
    <t>98 (23.3%)</t>
  </si>
  <si>
    <t>47 (20.0%)</t>
  </si>
  <si>
    <t>58 (10.8%)</t>
  </si>
  <si>
    <t>203 (17.0%)</t>
  </si>
  <si>
    <t>0 (0.0%)</t>
  </si>
  <si>
    <t>1 (0.2%)</t>
  </si>
  <si>
    <t>1 (0.1%)</t>
  </si>
  <si>
    <t>1 (0.4%)</t>
  </si>
  <si>
    <t>2 (0.4%)</t>
  </si>
  <si>
    <t>4 (0.3%)</t>
  </si>
  <si>
    <t>2 (0.5%)</t>
  </si>
  <si>
    <t>55 (13.1%)</t>
  </si>
  <si>
    <t>9 (3.8%)</t>
  </si>
  <si>
    <t>20 (3.7%)</t>
  </si>
  <si>
    <t>84 (7.0%)</t>
  </si>
  <si>
    <t>81 (19.3%)</t>
  </si>
  <si>
    <t>56 (23.8%)</t>
  </si>
  <si>
    <t>187 (34.8%)</t>
  </si>
  <si>
    <t>324 (27.2%)</t>
  </si>
  <si>
    <t>167 (39.8%)</t>
  </si>
  <si>
    <t>78 (33.2%)</t>
  </si>
  <si>
    <t>153 (28.5%)</t>
  </si>
  <si>
    <t>398 (33.4%)</t>
  </si>
  <si>
    <t>117 (27.9%)</t>
  </si>
  <si>
    <t>92 (39.1%)</t>
  </si>
  <si>
    <t>177 (33.0%)</t>
  </si>
  <si>
    <t>386 (32.4%)</t>
  </si>
  <si>
    <t>Hispanic/Latino</t>
  </si>
  <si>
    <t>11 (2.6%)</t>
  </si>
  <si>
    <t>6 (1.1%)</t>
  </si>
  <si>
    <t>18 (1.5%)</t>
  </si>
  <si>
    <t>N</t>
    <phoneticPr fontId="2" type="noConversion"/>
  </si>
  <si>
    <t>– White</t>
    <phoneticPr fontId="2" type="noConversion"/>
  </si>
  <si>
    <t xml:space="preserve">Race </t>
    <phoneticPr fontId="2" type="noConversion"/>
  </si>
  <si>
    <t>– Black/African American</t>
    <phoneticPr fontId="2" type="noConversion"/>
  </si>
  <si>
    <t>– Amer. Indian/Alaska Native</t>
    <phoneticPr fontId="2" type="noConversion"/>
  </si>
  <si>
    <t>– Asian</t>
    <phoneticPr fontId="2" type="noConversion"/>
  </si>
  <si>
    <t>– Other/Unknown</t>
    <phoneticPr fontId="2" type="noConversion"/>
  </si>
  <si>
    <t>Age Group</t>
    <phoneticPr fontId="2" type="noConversion"/>
  </si>
  <si>
    <t>– &lt;50</t>
    <phoneticPr fontId="2" type="noConversion"/>
  </si>
  <si>
    <t>– 50–65</t>
    <phoneticPr fontId="2" type="noConversion"/>
  </si>
  <si>
    <t>– 65–75</t>
    <phoneticPr fontId="2" type="noConversion"/>
  </si>
  <si>
    <t>– 75+</t>
    <phoneticPr fontId="2" type="noConversion"/>
  </si>
  <si>
    <t>Features</t>
  </si>
  <si>
    <t>All missing</t>
  </si>
  <si>
    <t>Some missing</t>
  </si>
  <si>
    <t>No missing</t>
  </si>
  <si>
    <t>Modality</t>
  </si>
  <si>
    <t>M1 – Demographics</t>
  </si>
  <si>
    <t>1191 (99.9%)</t>
  </si>
  <si>
    <t>M2 – Comorbidities</t>
  </si>
  <si>
    <t>1192 (100.0%)</t>
  </si>
  <si>
    <t>M3 – Lab Tests</t>
  </si>
  <si>
    <t>153 (12.8%)</t>
  </si>
  <si>
    <t>800 (67.1%)</t>
  </si>
  <si>
    <t>239 (20.1%)</t>
  </si>
  <si>
    <t>M4 – Medications</t>
  </si>
  <si>
    <t>M5 – Cognitive Scores</t>
  </si>
  <si>
    <t>653 (54.8%)</t>
  </si>
  <si>
    <t>529 (44.4%)</t>
  </si>
  <si>
    <t>10 (0.8%)</t>
  </si>
  <si>
    <t>M6 – APOE</t>
  </si>
  <si>
    <t>75 (6.3%)</t>
  </si>
  <si>
    <t>1117 (93.7%)</t>
  </si>
  <si>
    <t>M7 – Proteins</t>
  </si>
  <si>
    <t>510 (42.8%)</t>
  </si>
  <si>
    <t>506 (42.4%)</t>
  </si>
  <si>
    <t>176 (14.8%)</t>
  </si>
  <si>
    <t>M3</t>
  </si>
  <si>
    <t>M5</t>
  </si>
  <si>
    <t>total_cholesterol</t>
  </si>
  <si>
    <t>hdl</t>
  </si>
  <si>
    <t>glucose</t>
  </si>
  <si>
    <t>hba1c</t>
  </si>
  <si>
    <t>BMI</t>
  </si>
  <si>
    <t>systolic_bp</t>
  </si>
  <si>
    <t>diastolic_bp</t>
  </si>
  <si>
    <t>MMSE</t>
  </si>
  <si>
    <t>MOCATOTS</t>
  </si>
  <si>
    <t>CDRSUM</t>
  </si>
  <si>
    <t>CDRGLOB</t>
  </si>
  <si>
    <t>MINTTOTS</t>
  </si>
  <si>
    <t>CRAFTURS</t>
  </si>
  <si>
    <t>REY1REC</t>
  </si>
  <si>
    <t>GDS</t>
  </si>
  <si>
    <t>Ttau</t>
  </si>
  <si>
    <t>AB42</t>
  </si>
  <si>
    <t>AB40</t>
  </si>
  <si>
    <t>AB4240ratio</t>
  </si>
  <si>
    <t>Ptau181</t>
  </si>
  <si>
    <t>NFL</t>
  </si>
  <si>
    <t>GFAP</t>
  </si>
  <si>
    <t>Ptau217</t>
  </si>
  <si>
    <t>M7</t>
    <phoneticPr fontId="2" type="noConversion"/>
  </si>
  <si>
    <t>Feature</t>
    <phoneticPr fontId="2" type="noConversion"/>
  </si>
  <si>
    <t>MAPE</t>
    <phoneticPr fontId="2" type="noConversion"/>
  </si>
  <si>
    <t>KNN</t>
    <phoneticPr fontId="2" type="noConversion"/>
  </si>
  <si>
    <t>LR</t>
    <phoneticPr fontId="2" type="noConversion"/>
  </si>
  <si>
    <t>Mean</t>
    <phoneticPr fontId="2" type="noConversion"/>
  </si>
  <si>
    <t>MOCA</t>
    <phoneticPr fontId="2" type="noConversion"/>
  </si>
  <si>
    <t>RMSE</t>
    <phoneticPr fontId="2" type="noConversion"/>
  </si>
  <si>
    <t>Med</t>
    <phoneticPr fontId="2" type="noConversion"/>
  </si>
  <si>
    <t>AUROC</t>
    <phoneticPr fontId="2" type="noConversion"/>
  </si>
  <si>
    <t>Classifier</t>
    <phoneticPr fontId="2" type="noConversion"/>
  </si>
  <si>
    <t>Metric</t>
    <phoneticPr fontId="2" type="noConversion"/>
  </si>
  <si>
    <t>Logistic Regression</t>
    <phoneticPr fontId="2" type="noConversion"/>
  </si>
  <si>
    <t>Random Forest</t>
    <phoneticPr fontId="2" type="noConversion"/>
  </si>
  <si>
    <t>XGboost</t>
    <phoneticPr fontId="2" type="noConversion"/>
  </si>
  <si>
    <t>Method</t>
  </si>
  <si>
    <t>Feature</t>
  </si>
  <si>
    <t>Model</t>
  </si>
  <si>
    <t>TotalChol</t>
  </si>
  <si>
    <t>HDL</t>
  </si>
  <si>
    <t>Glucose</t>
  </si>
  <si>
    <t>HbA1c</t>
  </si>
  <si>
    <t>SBP</t>
  </si>
  <si>
    <t>DBP</t>
  </si>
  <si>
    <t>KNN</t>
  </si>
  <si>
    <t>LinearRegression</t>
  </si>
  <si>
    <t>Mean</t>
  </si>
  <si>
    <t>Median</t>
  </si>
  <si>
    <t>MOCA_CLOCK_TOTAL</t>
  </si>
  <si>
    <t>M7</t>
  </si>
  <si>
    <t>Stage</t>
  </si>
  <si>
    <t>Type</t>
  </si>
  <si>
    <t>n_seeds</t>
  </si>
  <si>
    <t>MAE_mean</t>
  </si>
  <si>
    <t>MAE_ci_lo</t>
  </si>
  <si>
    <t>MAE_ci_hi</t>
  </si>
  <si>
    <t>MAE_std</t>
  </si>
  <si>
    <t>MSE_mean</t>
  </si>
  <si>
    <t>MSE_ci_lo</t>
  </si>
  <si>
    <t>MSE_ci_hi</t>
  </si>
  <si>
    <t>RMSE_mean</t>
  </si>
  <si>
    <t>RMSE_ci_lo</t>
  </si>
  <si>
    <t>RMSE_ci_hi</t>
  </si>
  <si>
    <t>RMSE_std</t>
  </si>
  <si>
    <t>MAPE_mean</t>
  </si>
  <si>
    <t>MAPE_ci_lo</t>
  </si>
  <si>
    <t>MAPE_ci_hi</t>
  </si>
  <si>
    <t>MAPE_std</t>
  </si>
  <si>
    <t>Accuracy_mean</t>
  </si>
  <si>
    <t>Accuracy_ci_lo</t>
  </si>
  <si>
    <t>Accuracy_ci_hi</t>
  </si>
  <si>
    <t>Accuracy_std</t>
  </si>
  <si>
    <t>AUROC_mean</t>
  </si>
  <si>
    <t>AUROC_ci_lo</t>
  </si>
  <si>
    <t>AUROC_ci_hi</t>
  </si>
  <si>
    <t>AUROC_std</t>
  </si>
  <si>
    <t>continuous</t>
  </si>
  <si>
    <t>GAIN</t>
  </si>
  <si>
    <t>GRAPE</t>
  </si>
  <si>
    <t>GAIN</t>
    <phoneticPr fontId="2" type="noConversion"/>
  </si>
  <si>
    <t>GRAPE</t>
    <phoneticPr fontId="2" type="noConversion"/>
  </si>
  <si>
    <t>ImpMethod</t>
  </si>
  <si>
    <t>Classifier</t>
  </si>
  <si>
    <t>F1_Macro_mean</t>
  </si>
  <si>
    <t>F1_Macro_ci_lo</t>
  </si>
  <si>
    <t>F1_Macro_ci_hi</t>
  </si>
  <si>
    <t>F1_Macro_std</t>
  </si>
  <si>
    <t>F1_Weighted_mean</t>
  </si>
  <si>
    <t>F1_Weighted_ci_lo</t>
  </si>
  <si>
    <t>F1_Weighted_ci_hi</t>
  </si>
  <si>
    <t>F1_Weighted_std</t>
  </si>
  <si>
    <t>AUPRC_mean</t>
  </si>
  <si>
    <t>AUPRC_ci_lo</t>
  </si>
  <si>
    <t>AUPRC_ci_hi</t>
  </si>
  <si>
    <t>AUPRC_std</t>
  </si>
  <si>
    <t>XGBoost</t>
  </si>
  <si>
    <t>Logistic Regression</t>
  </si>
  <si>
    <t>Random Forest</t>
  </si>
  <si>
    <t>Graph-Embeddings</t>
  </si>
  <si>
    <t>Accuracy</t>
  </si>
  <si>
    <t>AUPRC</t>
    <phoneticPr fontId="2" type="noConversion"/>
  </si>
  <si>
    <t>62.2 (59.5 ~ 64.9)</t>
  </si>
  <si>
    <t>F1 Macro</t>
    <phoneticPr fontId="2" type="noConversion"/>
  </si>
  <si>
    <t>F1 Weight</t>
    <phoneticPr fontId="2" type="noConversion"/>
  </si>
  <si>
    <t>80.6 (77.8 ~ 83.4)</t>
  </si>
  <si>
    <t>78 (75.9 ~ 80.2)</t>
  </si>
  <si>
    <t>67.6 (65.3 ~ 69.8)</t>
  </si>
  <si>
    <t>M6</t>
  </si>
  <si>
    <t>categorical</t>
  </si>
  <si>
    <t>ALL</t>
  </si>
  <si>
    <t>MSE_std</t>
  </si>
  <si>
    <t>67.3 (64.2 ~ 70.3)</t>
  </si>
  <si>
    <t>3 (0.3%)</t>
    <phoneticPr fontId="2" type="noConversion"/>
  </si>
  <si>
    <t>69.4 (67.5 ~ 71.3)</t>
  </si>
  <si>
    <t>67.4 (65.5 ~ 69.3)</t>
  </si>
  <si>
    <t>S_trim_topk1</t>
  </si>
  <si>
    <t>S_trim_nofilter</t>
  </si>
  <si>
    <t>S_trim_topk10</t>
  </si>
  <si>
    <t>S_trim_topk20</t>
  </si>
  <si>
    <t>S_trim_topk3</t>
  </si>
  <si>
    <t>S_trim_topk5</t>
  </si>
  <si>
    <t>70.3 (67.9 ~ 72.6)</t>
  </si>
  <si>
    <t>66.2 (63.5 ~ 68.8)</t>
  </si>
  <si>
    <t>70.6 (66.1 ~ 75.1)</t>
  </si>
  <si>
    <t>71.2 (68.2 ~ 74.2)</t>
  </si>
  <si>
    <t>66.3 (63.3 ~ 69.4)</t>
  </si>
  <si>
    <t>71.3 (68.4 ~ 74.2)</t>
  </si>
  <si>
    <t>84.1 (82 ~ 86.3)</t>
  </si>
  <si>
    <t>70.5 (67.2 ~ 73.7)</t>
  </si>
  <si>
    <t>71.9 (70.8 ~ 73)</t>
  </si>
  <si>
    <t>58 (55.9 ~ 60.1)</t>
  </si>
  <si>
    <t>67 (65.9 ~ 68.1)</t>
  </si>
  <si>
    <t>81 (78.8 ~ 83.2)</t>
  </si>
  <si>
    <t>65.1 (62.6 ~ 67.7)</t>
  </si>
  <si>
    <t>72.9 (70.6 ~ 75.1)</t>
  </si>
  <si>
    <t>61.1 (57.2 ~ 65)</t>
  </si>
  <si>
    <t>69 (66.2 ~ 71.9)</t>
  </si>
  <si>
    <t>82.7 (80.3 ~ 85.1)</t>
  </si>
  <si>
    <t>67.8 (64.4 ~ 71.1)</t>
  </si>
  <si>
    <t>55.8 (53.2 ~ 58.4)</t>
  </si>
  <si>
    <t>54.3 (52.1 ~ 56.5)</t>
  </si>
  <si>
    <t>57.8 (55.6 ~ 59.9)</t>
  </si>
  <si>
    <t>77.4 (74.9 ~ 79.9)</t>
  </si>
  <si>
    <t>62.4 (60 ~ 64.8)</t>
  </si>
  <si>
    <t>66.9 (65.4 ~ 68.3)</t>
  </si>
  <si>
    <t>55.4 (53.1 ~ 57.7)</t>
  </si>
  <si>
    <t>63.4 (62 ~ 64.9)</t>
  </si>
  <si>
    <t>78.7 (76.2 ~ 81.1)</t>
  </si>
  <si>
    <t>61.8 (59 ~ 64.7)</t>
  </si>
  <si>
    <t>64.1 (57.6 ~ 70.6)</t>
  </si>
  <si>
    <t>56.6 (52.6 ~ 60.6)</t>
  </si>
  <si>
    <t>62.7 (57 ~ 68.3)</t>
  </si>
  <si>
    <t>78.3 (74.8 ~ 81.7)</t>
  </si>
  <si>
    <t>62.7 (59.5 ~ 66)</t>
  </si>
  <si>
    <t>69.5 (65.9 ~ 73.2)</t>
  </si>
  <si>
    <t>82.5 (79.8 ~ 85.2)</t>
  </si>
  <si>
    <t>68.5 (63.9 ~ 73.2)</t>
  </si>
  <si>
    <t>64.1 (61.4 ~ 66.8)</t>
  </si>
  <si>
    <t>81.8 (79.6 ~ 84.1)</t>
  </si>
  <si>
    <t>67.1 (62.8 ~ 71.3)</t>
  </si>
  <si>
    <t>72.1 (68.6 ~ 75.7)</t>
  </si>
  <si>
    <t>60.5 (56.4 ~ 64.6)</t>
  </si>
  <si>
    <t>82.9 (80.9 ~ 84.9)</t>
  </si>
  <si>
    <t>68.1 (65.1 ~ 71.2)</t>
  </si>
  <si>
    <t>82.6 (80.7 ~ 84.5)</t>
  </si>
  <si>
    <t>67.6 (65.2 ~ 69.9)</t>
  </si>
  <si>
    <t>KNN1</t>
  </si>
  <si>
    <t>KNN3</t>
  </si>
  <si>
    <t>BRIDGE topk1 trim</t>
    <phoneticPr fontId="2" type="noConversion"/>
  </si>
  <si>
    <t>71.4 (69.9 ~ 72.8)</t>
  </si>
  <si>
    <t>60.1 (57.6 ~ 62.7)</t>
  </si>
  <si>
    <t>68 (66.1 ~ 70)</t>
  </si>
  <si>
    <t>82 (79 ~ 85)</t>
  </si>
  <si>
    <t>67.3 (63.7 ~ 70.9)</t>
  </si>
  <si>
    <t>71.3 (69.2 ~ 73.4)</t>
  </si>
  <si>
    <t>58.4 (55.5 ~ 61.2)</t>
  </si>
  <si>
    <t>67 (64.7 ~ 69.3)</t>
  </si>
  <si>
    <t>81.2 (78.4 ~ 84)</t>
  </si>
  <si>
    <t>65.6 (62 ~ 69.2)</t>
  </si>
  <si>
    <t>63.2 (60.7 ~ 65.7)</t>
  </si>
  <si>
    <t>59.9 (57.4 ~ 62.3)</t>
  </si>
  <si>
    <t>65 (62.7 ~ 67.3)</t>
  </si>
  <si>
    <t>79.9 (76.7 ~ 83.2)</t>
  </si>
  <si>
    <t>64.5 (60.4 ~ 68.6)</t>
  </si>
  <si>
    <t>71.6 (67.9 ~ 75.4)</t>
  </si>
  <si>
    <t>60.7 (56 ~ 65.4)</t>
  </si>
  <si>
    <t>68.4 (64.4 ~ 72.4)</t>
  </si>
  <si>
    <t>81.1 (77.8 ~ 84.4)</t>
  </si>
  <si>
    <t>66.1 (62.2 ~ 70.1)</t>
  </si>
  <si>
    <t>71.8 (70.2 ~ 73.4)</t>
  </si>
  <si>
    <t>58.9 (56.4 ~ 61.3)</t>
  </si>
  <si>
    <t>80.5 (77.2 ~ 83.8)</t>
  </si>
  <si>
    <t>65.2 (61.4 ~ 69.1)</t>
  </si>
  <si>
    <t>61.8 (57.1 ~ 66.6)</t>
  </si>
  <si>
    <t>58.2 (53.1 ~ 63.3)</t>
  </si>
  <si>
    <t>63.5 (58.9 ~ 68.2)</t>
  </si>
  <si>
    <t>78.6 (74.2 ~ 83.1)</t>
  </si>
  <si>
    <t>63 (57.3 ~ 68.8)</t>
  </si>
  <si>
    <t>72.6 (71.1 ~ 74.1)</t>
  </si>
  <si>
    <t>61.8 (59 ~ 64.6)</t>
  </si>
  <si>
    <t>82.3 (79.6 ~ 85.1)</t>
  </si>
  <si>
    <t>68.2 (64.1 ~ 72.2)</t>
  </si>
  <si>
    <t>72.1 (69.7 ~ 74.5)</t>
  </si>
  <si>
    <t>58.8 (54.1 ~ 63.4)</t>
  </si>
  <si>
    <t>67.5 (64.2 ~ 70.7)</t>
  </si>
  <si>
    <t>81.4 (78.1 ~ 84.7)</t>
  </si>
  <si>
    <t>66.5 (61.4 ~ 71.6)</t>
  </si>
  <si>
    <t>62.6 (59.1 ~ 66.1)</t>
  </si>
  <si>
    <t>59.4 (56.1 ~ 62.7)</t>
  </si>
  <si>
    <t>64.6 (61.2 ~ 68)</t>
  </si>
  <si>
    <t>79.5 (75.9 ~ 83.1)</t>
  </si>
  <si>
    <t>64.5 (59.8 ~ 69.1)</t>
  </si>
  <si>
    <t>69.4 (67.9 ~ 70.8)</t>
  </si>
  <si>
    <t>59.3 (58.6 ~ 60)</t>
  </si>
  <si>
    <t>66.8 (66 ~ 67.6)</t>
  </si>
  <si>
    <t>80.8 (79.3 ~ 82.3)</t>
  </si>
  <si>
    <t>66 (65.3 ~ 66.7)</t>
  </si>
  <si>
    <t>70.6 (69.3 ~ 71.9)</t>
  </si>
  <si>
    <t>56.7 (53.7 ~ 59.7)</t>
  </si>
  <si>
    <t>65.5 (63.2 ~ 67.7)</t>
  </si>
  <si>
    <t>80.1 (77.2 ~ 83.1)</t>
  </si>
  <si>
    <t>65.3 (61.9 ~ 68.6)</t>
  </si>
  <si>
    <t>57.7 (53.9 ~ 61.4)</t>
  </si>
  <si>
    <t>55.9 (52.7 ~ 59.1)</t>
  </si>
  <si>
    <t>60.2 (57.1 ~ 63.4)</t>
  </si>
  <si>
    <t>76.9 (74.3 ~ 79.5)</t>
  </si>
  <si>
    <t>61 (58 ~ 64)</t>
  </si>
  <si>
    <t>71.1 (67.9 ~ 74.2)</t>
  </si>
  <si>
    <t>61.5 (58.5 ~ 64.5)</t>
  </si>
  <si>
    <t>68.3 (65.5 ~ 71.1)</t>
  </si>
  <si>
    <t>82.9 (80 ~ 85.7)</t>
  </si>
  <si>
    <t>68.9 (65.7 ~ 72)</t>
  </si>
  <si>
    <t>65.4 (63.2 ~ 67.5)</t>
  </si>
  <si>
    <t>67.2 (65 ~ 69.4)</t>
  </si>
  <si>
    <t>82.3 (79.9 ~ 84.7)</t>
  </si>
  <si>
    <t>67.9 (63.7 ~ 72.1)</t>
  </si>
  <si>
    <t>73.1 (71.5 ~ 74.8)</t>
  </si>
  <si>
    <t>60.8 (58.2 ~ 63.4)</t>
  </si>
  <si>
    <t>69 (67 ~ 71.1)</t>
  </si>
  <si>
    <t>82 (79.7 ~ 84.3)</t>
  </si>
  <si>
    <t>66.6 (63.5 ~ 69.7)</t>
  </si>
  <si>
    <t>72.1 (69.2 ~ 74.9)</t>
  </si>
  <si>
    <t>60.6 (56.8 ~ 64.4)</t>
  </si>
  <si>
    <t>68.6 (65.4 ~ 71.7)</t>
  </si>
  <si>
    <t>82.9 (79.2 ~ 86.6)</t>
  </si>
  <si>
    <t>69.5 (65.2 ~ 73.9)</t>
  </si>
  <si>
    <t>73 (69.7 ~ 76.2)</t>
  </si>
  <si>
    <t>61.6 (55.4 ~ 67.8)</t>
  </si>
  <si>
    <t>69.3 (64.9 ~ 73.8)</t>
  </si>
  <si>
    <t>81.8 (78.7 ~ 84.8)</t>
  </si>
  <si>
    <t>66.7 (63.4 ~ 70.1)</t>
  </si>
  <si>
    <t>63.9 (60.3 ~ 67.6)</t>
  </si>
  <si>
    <t>60.8 (57 ~ 64.6)</t>
  </si>
  <si>
    <t>65.7 (62.4 ~ 68.9)</t>
  </si>
  <si>
    <t>65.6 (61.6 ~ 69.5)</t>
  </si>
  <si>
    <t>71.4 (69.4 ~ 73.3)</t>
  </si>
  <si>
    <t>61.3 (57.7 ~ 64.9)</t>
  </si>
  <si>
    <t>68.5 (65.8 ~ 71.2)</t>
  </si>
  <si>
    <t>81.9 (79.1 ~ 84.7)</t>
  </si>
  <si>
    <t>71.2 (69.5 ~ 73)</t>
  </si>
  <si>
    <t>59.2 (57.2 ~ 61.2)</t>
  </si>
  <si>
    <t>67.4 (65.6 ~ 69.3)</t>
  </si>
  <si>
    <t>80.4 (77.7 ~ 83.1)</t>
  </si>
  <si>
    <t>64.9 (61.9 ~ 67.8)</t>
  </si>
  <si>
    <t>60.6 (58.2 ~ 63)</t>
  </si>
  <si>
    <t>57.9 (55 ~ 60.7)</t>
  </si>
  <si>
    <t>62.9 (60.5 ~ 65.3)</t>
  </si>
  <si>
    <t>62.1 (59.6 ~ 64.7)</t>
  </si>
  <si>
    <t>70.6 (67.8 ~ 73.3)</t>
  </si>
  <si>
    <t>61.7 (57.8 ~ 65.7)</t>
  </si>
  <si>
    <t>68.4 (65.2 ~ 71.6)</t>
  </si>
  <si>
    <t>81.9 (79 ~ 84.7)</t>
  </si>
  <si>
    <t>69.8 (67.6 ~ 72)</t>
  </si>
  <si>
    <t>57.5 (54.6 ~ 60.4)</t>
  </si>
  <si>
    <t>65.9 (63.4 ~ 68.5)</t>
  </si>
  <si>
    <t>79.2 (77 ~ 81.4)</t>
  </si>
  <si>
    <t>63.3 (61.2 ~ 65.5)</t>
  </si>
  <si>
    <t>54.1 (52.6 ~ 55.7)</t>
  </si>
  <si>
    <t>52.1 (50.8 ~ 53.4)</t>
  </si>
  <si>
    <t>56.3 (54.8 ~ 57.9)</t>
  </si>
  <si>
    <t>73.7 (72 ~ 75.3)</t>
  </si>
  <si>
    <t>57.9 (56.1 ~ 59.7)</t>
  </si>
  <si>
    <t>S_trim_topk1_gcn1_rr1</t>
  </si>
  <si>
    <t>Our trim top1</t>
    <phoneticPr fontId="2" type="noConversion"/>
  </si>
  <si>
    <t>S_trim_nofilter_gcn1_rr1</t>
  </si>
  <si>
    <t>S_trim_topk10_gcn1_rr1</t>
  </si>
  <si>
    <t>S_trim_topk20_gcn1_rr1</t>
  </si>
  <si>
    <t>S_trim_topk3_gcn1_rr1</t>
  </si>
  <si>
    <t>S_trim_topk5_gcn1_rr1</t>
  </si>
  <si>
    <t>S_trim_topk1_rr1_ma1</t>
  </si>
  <si>
    <t>S_trim_nofilter_rr1_ma1</t>
  </si>
  <si>
    <t>S_trim_topk20_rr1_ma1</t>
  </si>
  <si>
    <t>S_trim_topk5_rr1_ma1</t>
  </si>
  <si>
    <t>S_trim_topk10_rr1_ma1</t>
  </si>
  <si>
    <t>N Missing</t>
  </si>
  <si>
    <t>% Missing</t>
  </si>
  <si>
    <t>N Present</t>
  </si>
  <si>
    <t>SEX</t>
  </si>
  <si>
    <t>HISPANIC</t>
  </si>
  <si>
    <t>RACE</t>
  </si>
  <si>
    <t>age&lt;50</t>
  </si>
  <si>
    <t>age_50-65</t>
  </si>
  <si>
    <t>age_65-75</t>
  </si>
  <si>
    <t>age_75+</t>
  </si>
  <si>
    <t>obesity</t>
  </si>
  <si>
    <t>diabetes</t>
  </si>
  <si>
    <t>hyperlipidemia</t>
  </si>
  <si>
    <t>hypertension</t>
  </si>
  <si>
    <t>heart_disease</t>
  </si>
  <si>
    <t>stroke</t>
  </si>
  <si>
    <t>depression</t>
  </si>
  <si>
    <t>anxiety</t>
  </si>
  <si>
    <t>concussion</t>
  </si>
  <si>
    <t>sleep_disorders</t>
  </si>
  <si>
    <t>periodontitis</t>
  </si>
  <si>
    <t>smoking</t>
  </si>
  <si>
    <t>alcohol_use</t>
  </si>
  <si>
    <t>NSAIDs</t>
  </si>
  <si>
    <t>Statins</t>
  </si>
  <si>
    <t>Anticholinergics</t>
  </si>
  <si>
    <t>Hormone_Replacement</t>
  </si>
  <si>
    <t>Antihypertensives</t>
  </si>
  <si>
    <t>Benzodiazepines</t>
  </si>
  <si>
    <t>Proton_Pump_Inhibitors</t>
  </si>
  <si>
    <t>APOEGenotype</t>
  </si>
  <si>
    <t>Domain pair</t>
  </si>
  <si>
    <t>Both complete</t>
  </si>
  <si>
    <t>Only A missing</t>
  </si>
  <si>
    <t>Only B missing</t>
  </si>
  <si>
    <t>Both missing</t>
  </si>
  <si>
    <t>M5 × M7</t>
  </si>
  <si>
    <t>399 (33.5%)</t>
  </si>
  <si>
    <t>283 (23.7%)</t>
  </si>
  <si>
    <t>140 (11.7%)</t>
  </si>
  <si>
    <t>370 (31.0%)</t>
  </si>
  <si>
    <t>M3 × M5</t>
  </si>
  <si>
    <t>535 (44.9%)</t>
  </si>
  <si>
    <t>504 (42.3%)</t>
  </si>
  <si>
    <t>149 (12.5%)</t>
  </si>
  <si>
    <t>M3 × M7</t>
  </si>
  <si>
    <t>636 (53.4%)</t>
  </si>
  <si>
    <t>46 (3.9%)</t>
  </si>
  <si>
    <t>403 (33.8%)</t>
  </si>
  <si>
    <t>107 (9.0%)</t>
  </si>
  <si>
    <t>M5 × M6</t>
  </si>
  <si>
    <t>531 (44.5%)</t>
  </si>
  <si>
    <t>586 (49.2%)</t>
  </si>
  <si>
    <t>8 (0.7%)</t>
  </si>
  <si>
    <t>67 (5.6%)</t>
  </si>
  <si>
    <t>M3 × M6</t>
  </si>
  <si>
    <t>982 (82.4%)</t>
  </si>
  <si>
    <t>135 (11.3%)</t>
  </si>
  <si>
    <t>57 (4.8%)</t>
  </si>
  <si>
    <t>Domain</t>
  </si>
  <si>
    <t>% all-missing</t>
  </si>
  <si>
    <t>(Normal)</t>
  </si>
  <si>
    <t>(MCI)</t>
  </si>
  <si>
    <t>(Dementia)</t>
  </si>
  <si>
    <t>p-value</t>
  </si>
  <si>
    <t>M6 – Genetic Factors</t>
  </si>
  <si>
    <t>M7 – Biomarkers</t>
  </si>
  <si>
    <t>Precision_Macro_mean</t>
  </si>
  <si>
    <t>Precision_Macro_ci_lo</t>
  </si>
  <si>
    <t>Precision_Macro_ci_hi</t>
  </si>
  <si>
    <t>Precision_Macro_std</t>
  </si>
  <si>
    <t>Recall_Macro_mean</t>
  </si>
  <si>
    <t>Recall_Macro_ci_lo</t>
  </si>
  <si>
    <t>Recall_Macro_ci_hi</t>
  </si>
  <si>
    <t>Recall_Macro_std</t>
  </si>
  <si>
    <t>Precision_Weighted_mean</t>
  </si>
  <si>
    <t>Precision_Weighted_ci_lo</t>
  </si>
  <si>
    <t>Precision_Weighted_ci_hi</t>
  </si>
  <si>
    <t>Precision_Weighted_std</t>
  </si>
  <si>
    <t>Recall_Weighted_mean</t>
  </si>
  <si>
    <t>Recall_Weighted_ci_lo</t>
  </si>
  <si>
    <t>Recall_Weighted_ci_hi</t>
  </si>
  <si>
    <t>Recall_Weighted_std</t>
  </si>
  <si>
    <t>Recall Weighted</t>
    <phoneticPr fontId="2" type="noConversion"/>
  </si>
  <si>
    <t>Precision Weighted</t>
    <phoneticPr fontId="2" type="noConversion"/>
  </si>
  <si>
    <t>Recall Macro</t>
    <phoneticPr fontId="2" type="noConversion"/>
  </si>
  <si>
    <t>Precision Macro</t>
    <phoneticPr fontId="2" type="noConversion"/>
  </si>
  <si>
    <t>66.6 (63.7 ~ 69.5)</t>
  </si>
  <si>
    <t>66.3 (63.2 ~ 69.4)</t>
  </si>
  <si>
    <t>71.6 (68.5 ~ 74.6)</t>
  </si>
  <si>
    <t>64.9 (62 ~ 67.8)</t>
  </si>
  <si>
    <t>62.6 (60.2 ~ 65)</t>
  </si>
  <si>
    <t>69 (66.7 ~ 71.3)</t>
  </si>
  <si>
    <t>63.7 (58.3 ~ 69.2)</t>
  </si>
  <si>
    <t>61.9 (58.7 ~ 65.2)</t>
  </si>
  <si>
    <t>68.3 (64.3 ~ 72.3)</t>
  </si>
  <si>
    <t>66.4 (58.8 ~ 74)</t>
  </si>
  <si>
    <t>69.9 (64.8 ~ 75)</t>
  </si>
  <si>
    <t>63.7 (60.6 ~ 66.7)</t>
  </si>
  <si>
    <t>62.5 (59.4 ~ 65.7)</t>
  </si>
  <si>
    <t>70.3 (67.4 ~ 73.3)</t>
  </si>
  <si>
    <t>65.6 (62.5 ~ 68.7)</t>
  </si>
  <si>
    <t>62.5 (60.4 ~ 64.6)</t>
  </si>
  <si>
    <t>69.5 (67.3 ~ 71.8)</t>
  </si>
  <si>
    <t>63 (59.3 ~ 66.8)</t>
  </si>
  <si>
    <t>61.3 (59.3 ~ 63.3)</t>
  </si>
  <si>
    <t>67.8 (65.2 ~ 70.4)</t>
  </si>
  <si>
    <t>65.3 (60.9 ~ 69.6)</t>
  </si>
  <si>
    <t>61.7 (59.1 ~ 64.4)</t>
  </si>
  <si>
    <t>69.2 (65.7 ~ 72.8)</t>
  </si>
  <si>
    <t>64.3 (59.6 ~ 68.9)</t>
  </si>
  <si>
    <t>61.8 (58.5 ~ 65.2)</t>
  </si>
  <si>
    <t>68.5 (64.8 ~ 72.2)</t>
  </si>
  <si>
    <t>65.4 (56.7 ~ 74.1)</t>
  </si>
  <si>
    <t>62.9 (58.4 ~ 67.4)</t>
  </si>
  <si>
    <t>69.4 (63.3 ~ 75.6)</t>
  </si>
  <si>
    <t>61.9 (56.8 ~ 67)</t>
  </si>
  <si>
    <t>60.5 (58.1 ~ 62.9)</t>
  </si>
  <si>
    <t>66.8 (63.3 ~ 70.3)</t>
  </si>
  <si>
    <t>61.8 (56.2 ~ 67.5)</t>
  </si>
  <si>
    <t>60.6 (59.6 ~ 61.5)</t>
  </si>
  <si>
    <t>66.9 (63.5 ~ 70.3)</t>
  </si>
  <si>
    <t>61.4 (59.3 ~ 63.6)</t>
  </si>
  <si>
    <t>60 (58.9 ~ 61.1)</t>
  </si>
  <si>
    <t>66.5 (65.5 ~ 67.4)</t>
  </si>
  <si>
    <t>62.2 (58.7 ~ 65.7)</t>
  </si>
  <si>
    <t>60.9 (56.7 ~ 65.2)</t>
  </si>
  <si>
    <t>68.6 (65.5 ~ 71.7)</t>
  </si>
  <si>
    <t>63.1 (59.6 ~ 66.5)</t>
  </si>
  <si>
    <t>60.7 (58.8 ~ 62.5)</t>
  </si>
  <si>
    <t>67.7 (65.3 ~ 70.1)</t>
  </si>
  <si>
    <t>64.5 (60.8 ~ 68.3)</t>
  </si>
  <si>
    <t>59.4 (57.4 ~ 61.4)</t>
  </si>
  <si>
    <t>67.6 (65.4 ~ 69.8)</t>
  </si>
  <si>
    <t>61.5 (59.4 ~ 63.6)</t>
  </si>
  <si>
    <t>59.8 (57.1 ~ 62.5)</t>
  </si>
  <si>
    <t>68 (65.8 ~ 70.2)</t>
  </si>
  <si>
    <t>60 (55.8 ~ 64.1)</t>
  </si>
  <si>
    <t>59.4 (56.9 ~ 61.9)</t>
  </si>
  <si>
    <t>65.3 (62.3 ~ 68.2)</t>
  </si>
  <si>
    <t>56.1 (53.6 ~ 58.6)</t>
  </si>
  <si>
    <t>57.4 (56.2 ~ 58.6)</t>
  </si>
  <si>
    <t>62 (60.1 ~ 63.9)</t>
  </si>
  <si>
    <t>57.8 (54.8 ~ 60.8)</t>
  </si>
  <si>
    <t>57.7 (55.1 ~ 60.4)</t>
  </si>
  <si>
    <t>63.7 (61.6 ~ 65.7)</t>
  </si>
  <si>
    <t>60.3 (57.5 ~ 63.1)</t>
  </si>
  <si>
    <t>57.9 (54.5 ~ 61.2)</t>
  </si>
  <si>
    <t>67.2 (64.4 ~ 69.9)</t>
  </si>
  <si>
    <t>58.3 (56.9 ~ 59.7)</t>
  </si>
  <si>
    <t>55.8 (53 ~ 58.5)</t>
  </si>
  <si>
    <t>65.2 (63.8 ~ 66.7)</t>
  </si>
  <si>
    <t>60.1 (56.6 ~ 63.6)</t>
  </si>
  <si>
    <t>56.6 (52.6 ~ 60.5)</t>
  </si>
  <si>
    <t>54.3 (53.1 ~ 55.6)</t>
  </si>
  <si>
    <t>52.3 (51.1 ~ 53.5)</t>
  </si>
  <si>
    <t>60.5 (59 ~ 62)</t>
  </si>
  <si>
    <t>KNN5</t>
    <phoneticPr fontId="2" type="noConversion"/>
  </si>
  <si>
    <t>KNN3</t>
    <phoneticPr fontId="2" type="noConversion"/>
  </si>
  <si>
    <t>KNN1</t>
    <phoneticPr fontId="2" type="noConversion"/>
  </si>
  <si>
    <t>65.2 (60.3 ~ 70.2)</t>
  </si>
  <si>
    <t>62.7 (60.7 ~ 64.6)</t>
  </si>
  <si>
    <t>69.5 (66.3 ~ 72.7)</t>
  </si>
  <si>
    <t>62.5 (54.7 ~ 70.3)</t>
  </si>
  <si>
    <t>61.2 (58 ~ 64.3)</t>
  </si>
  <si>
    <t>67.2 (61.9 ~ 72.5)</t>
  </si>
  <si>
    <t>64 (56.8 ~ 71.2)</t>
  </si>
  <si>
    <t>61.8 (57.7 ~ 66)</t>
  </si>
  <si>
    <t>68.4 (63.1 ~ 73.6)</t>
  </si>
  <si>
    <t>62.5 (59.5 ~ 65.5)</t>
  </si>
  <si>
    <t>61 (59.1 ~ 62.9)</t>
  </si>
  <si>
    <t>67.2 (64.9 ~ 69.5)</t>
  </si>
  <si>
    <t>61.2 (58.3 ~ 64)</t>
  </si>
  <si>
    <t>59.3 (55.7 ~ 62.9)</t>
  </si>
  <si>
    <t>67.9 (64.7 ~ 71.1)</t>
  </si>
  <si>
    <t>59.4 (54.3 ~ 64.5)</t>
  </si>
  <si>
    <t>58.1 (52.6 ~ 63.5)</t>
  </si>
  <si>
    <t>66.1 (61.2 ~ 71)</t>
  </si>
  <si>
    <t>R2_mean</t>
  </si>
  <si>
    <t>R2_ci_lo</t>
  </si>
  <si>
    <t>R2_ci_hi</t>
  </si>
  <si>
    <t>R2_std</t>
  </si>
  <si>
    <t>M7_TRIMMED</t>
  </si>
  <si>
    <t>4.37 (2.69 ~ 6.06)</t>
  </si>
  <si>
    <t>32.67 (9.93 ~ 55.4)</t>
  </si>
  <si>
    <t>5.56 (3.74 ~ 7.39)</t>
  </si>
  <si>
    <t>16.91 (7.38 ~ 26.45)</t>
  </si>
  <si>
    <t>8.98 (4.99 ~ 12.97)</t>
  </si>
  <si>
    <t>134.88 (27.02 ~ 242.73)</t>
  </si>
  <si>
    <t>11.2 (6.95 ~ 15.45)</t>
  </si>
  <si>
    <t>11.78 (6.63 ~ 16.94)</t>
  </si>
  <si>
    <t>16.3 (10.86 ~ 21.75)</t>
  </si>
  <si>
    <t>450.82 (172.88 ~ 728.77)</t>
  </si>
  <si>
    <t>20.7 (14.13 ~ 27.27)</t>
  </si>
  <si>
    <t>16.49 (10.9 ~ 22.07)</t>
  </si>
  <si>
    <t>13.09 (9.98 ~ 16.2)</t>
  </si>
  <si>
    <t>282 (125.54 ~ 438.46)</t>
  </si>
  <si>
    <t>16.44 (11.71 ~ 21.17)</t>
  </si>
  <si>
    <t>24.27 (21.21 ~ 27.32)</t>
  </si>
  <si>
    <t>0.48 (0.39 ~ 0.58)</t>
  </si>
  <si>
    <t>0.38 (0.25 ~ 0.51)</t>
  </si>
  <si>
    <t>0.61 (0.49 ~ 0.72)</t>
  </si>
  <si>
    <t>8.12 (6.7 ~ 9.53)</t>
  </si>
  <si>
    <t>18.6 (9.21 ~ 27.98)</t>
  </si>
  <si>
    <t>596.56 (44.66 ~ 1148.46)</t>
  </si>
  <si>
    <t>23.33 (13.29 ~ 33.37)</t>
  </si>
  <si>
    <t>13.29 (6.76 ~ 19.83)</t>
  </si>
  <si>
    <t>36.25 (33.46 ~ 39.05)</t>
  </si>
  <si>
    <t>2121.77 (1634.31 ~ 2609.24)</t>
  </si>
  <si>
    <t>45.9 (40.57 ~ 51.24)</t>
  </si>
  <si>
    <t>19.24 (17.28 ~ 21.19)</t>
  </si>
  <si>
    <t>4.73 (3.4 ~ 6.06)</t>
  </si>
  <si>
    <t>35.88 (17.93 ~ 53.83)</t>
  </si>
  <si>
    <t>5.89 (4.38 ~ 7.4)</t>
  </si>
  <si>
    <t>18.71 (11.86 ~ 25.55)</t>
  </si>
  <si>
    <t>6.74 (5.08 ~ 8.4)</t>
  </si>
  <si>
    <t>73.13 (40.99 ~ 105.26)</t>
  </si>
  <si>
    <t>8.42 (6.38 ~ 10.47)</t>
  </si>
  <si>
    <t>9.22 (6.89 ~ 11.54)</t>
  </si>
  <si>
    <t>12.46 (10.62 ~ 14.3)</t>
  </si>
  <si>
    <t>268.93 (182.48 ~ 355.38)</t>
  </si>
  <si>
    <t>16.29 (13.67 ~ 18.91)</t>
  </si>
  <si>
    <t>12.78 (11.21 ~ 14.35)</t>
  </si>
  <si>
    <t>11.08 (9.23 ~ 12.93)</t>
  </si>
  <si>
    <t>189.4 (137.96 ~ 240.83)</t>
  </si>
  <si>
    <t>13.69 (11.7 ~ 15.67)</t>
  </si>
  <si>
    <t>21.71 (18.35 ~ 25.07)</t>
  </si>
  <si>
    <t>0.44 (0.36 ~ 0.52)</t>
  </si>
  <si>
    <t>0.31 (0.19 ~ 0.43)</t>
  </si>
  <si>
    <t>0.55 (0.43 ~ 0.67)</t>
  </si>
  <si>
    <t>7.43 (6.19 ~ 8.67)</t>
  </si>
  <si>
    <t>14.21 (10.61 ~ 17.81)</t>
  </si>
  <si>
    <t>344.31 (171.51 ~ 517.12)</t>
  </si>
  <si>
    <t>18.26 (13.65 ~ 22.86)</t>
  </si>
  <si>
    <t>10.6 (7.45 ~ 13.75)</t>
  </si>
  <si>
    <t>34.57 (29.74 ~ 39.4)</t>
  </si>
  <si>
    <t>1811.66 (1236.66 ~ 2386.66)</t>
  </si>
  <si>
    <t>42.28 (35.41 ~ 49.14)</t>
  </si>
  <si>
    <t>18.95 (16.31 ~ 21.58)</t>
  </si>
  <si>
    <t>4.82 (3.84 ~ 5.81)</t>
  </si>
  <si>
    <t>36.32 (24.83 ~ 47.81)</t>
  </si>
  <si>
    <t>5.98 (5 ~ 6.97)</t>
  </si>
  <si>
    <t>18.24 (12.15 ~ 24.33)</t>
  </si>
  <si>
    <t>7.29 (5.92 ~ 8.67)</t>
  </si>
  <si>
    <t>86.98 (57.02 ~ 116.94)</t>
  </si>
  <si>
    <t>9.26 (7.67 ~ 10.85)</t>
  </si>
  <si>
    <t>10.02 (8.02 ~ 12.03)</t>
  </si>
  <si>
    <t>13.08 (11.57 ~ 14.6)</t>
  </si>
  <si>
    <t>289.23 (218.09 ~ 360.38)</t>
  </si>
  <si>
    <t>16.94 (14.81 ~ 19.07)</t>
  </si>
  <si>
    <t>13.26 (11.8 ~ 14.72)</t>
  </si>
  <si>
    <t>12.65 (10.8 ~ 14.49)</t>
  </si>
  <si>
    <t>251.75 (185.79 ~ 317.72)</t>
  </si>
  <si>
    <t>15.79 (13.57 ~ 18)</t>
  </si>
  <si>
    <t>24.42 (21.03 ~ 27.8)</t>
  </si>
  <si>
    <t>0.42 (0.32 ~ 0.52)</t>
  </si>
  <si>
    <t>0.29 (0.19 ~ 0.39)</t>
  </si>
  <si>
    <t>0.53 (0.43 ~ 0.63)</t>
  </si>
  <si>
    <t>7.3 (5.67 ~ 8.94)</t>
  </si>
  <si>
    <t>15.42 (11.86 ~ 18.98)</t>
  </si>
  <si>
    <t>388.02 (214.97 ~ 561.07)</t>
  </si>
  <si>
    <t>19.44 (15.04 ~ 23.84)</t>
  </si>
  <si>
    <t>11.61 (8.36 ~ 14.87)</t>
  </si>
  <si>
    <t>36.48 (32.04 ~ 40.93)</t>
  </si>
  <si>
    <t>2022.29 (1635.55 ~ 2409.04)</t>
  </si>
  <si>
    <t>44.86 (40.51 ~ 49.21)</t>
  </si>
  <si>
    <t>20.41 (17.82 ~ 23)</t>
  </si>
  <si>
    <t>4.45 (3.63 ~ 5.28)</t>
  </si>
  <si>
    <t>29.82 (18.8 ~ 40.83)</t>
  </si>
  <si>
    <t>5.41 (4.38 ~ 6.44)</t>
  </si>
  <si>
    <t>17.49 (12.06 ~ 22.92)</t>
  </si>
  <si>
    <t>6.91 (5.58 ~ 8.23)</t>
  </si>
  <si>
    <t>71.04 (45.42 ~ 96.67)</t>
  </si>
  <si>
    <t>8.36 (6.83 ~ 9.88)</t>
  </si>
  <si>
    <t>9.47 (7.57 ~ 11.37)</t>
  </si>
  <si>
    <t>11.65 (9.94 ~ 13.36)</t>
  </si>
  <si>
    <t>239.82 (164.19 ~ 315.46)</t>
  </si>
  <si>
    <t>15.39 (13 ~ 17.78)</t>
  </si>
  <si>
    <t>11.96 (10.57 ~ 13.34)</t>
  </si>
  <si>
    <t>11.17 (9.73 ~ 12.61)</t>
  </si>
  <si>
    <t>187.75 (147.14 ~ 228.35)</t>
  </si>
  <si>
    <t>13.66 (12.12 ~ 15.2)</t>
  </si>
  <si>
    <t>21.77 (19.55 ~ 24)</t>
  </si>
  <si>
    <t>0.43 (0.36 ~ 0.49)</t>
  </si>
  <si>
    <t>0.27 (0.19 ~ 0.36)</t>
  </si>
  <si>
    <t>0.52 (0.44 ~ 0.61)</t>
  </si>
  <si>
    <t>7.31 (6.26 ~ 8.35)</t>
  </si>
  <si>
    <t>13.63 (10.92 ~ 16.34)</t>
  </si>
  <si>
    <t>291.58 (191.08 ~ 392.09)</t>
  </si>
  <si>
    <t>16.96 (14.15 ~ 19.76)</t>
  </si>
  <si>
    <t>10.18 (7.88 ~ 12.48)</t>
  </si>
  <si>
    <t>33.14 (29.4 ~ 36.87)</t>
  </si>
  <si>
    <t>1685.02 (1345.69 ~ 2024.35)</t>
  </si>
  <si>
    <t>40.94 (36.78 ~ 45.1)</t>
  </si>
  <si>
    <t>18.25 (15.35 ~ 21.14)</t>
  </si>
  <si>
    <t>4.54 (3.89 ~ 5.18)</t>
  </si>
  <si>
    <t>30.71 (21.64 ~ 39.78)</t>
  </si>
  <si>
    <t>5.51 (4.69 ~ 6.33)</t>
  </si>
  <si>
    <t>17.67 (12.78 ~ 22.57)</t>
  </si>
  <si>
    <t>7.39 (6.51 ~ 8.28)</t>
  </si>
  <si>
    <t>88.41 (63.67 ~ 113.15)</t>
  </si>
  <si>
    <t>9.36 (8.08 ~ 10.64)</t>
  </si>
  <si>
    <t>10.19 (8.79 ~ 11.59)</t>
  </si>
  <si>
    <t>12.07 (10.66 ~ 13.48)</t>
  </si>
  <si>
    <t>254.79 (188.84 ~ 320.73)</t>
  </si>
  <si>
    <t>15.9 (13.89 ~ 17.9)</t>
  </si>
  <si>
    <t>12.38 (11.31 ~ 13.45)</t>
  </si>
  <si>
    <t>11.8 (10.41 ~ 13.2)</t>
  </si>
  <si>
    <t>204.43 (164.87 ~ 244)</t>
  </si>
  <si>
    <t>14.26 (12.82 ~ 15.7)</t>
  </si>
  <si>
    <t>22.72 (20.72 ~ 24.71)</t>
  </si>
  <si>
    <t>0.44 (0.37 ~ 0.5)</t>
  </si>
  <si>
    <t>0.29 (0.21 ~ 0.37)</t>
  </si>
  <si>
    <t>0.54 (0.47 ~ 0.61)</t>
  </si>
  <si>
    <t>7.47 (6.47 ~ 8.46)</t>
  </si>
  <si>
    <t>14.22 (11.16 ~ 17.29)</t>
  </si>
  <si>
    <t>343.43 (240.69 ~ 446.17)</t>
  </si>
  <si>
    <t>18.43 (15.76 ~ 21.11)</t>
  </si>
  <si>
    <t>10.68 (7.94 ~ 13.42)</t>
  </si>
  <si>
    <t>34.71 (33.03 ~ 36.38)</t>
  </si>
  <si>
    <t>1782.49 (1580.92 ~ 1984.05)</t>
  </si>
  <si>
    <t>42.18 (39.8 ~ 44.57)</t>
  </si>
  <si>
    <t>19.28 (17.01 ~ 21.56)</t>
  </si>
  <si>
    <t>4.4 (3.83 ~ 4.98)</t>
  </si>
  <si>
    <t>29.89 (21.78 ~ 38.01)</t>
  </si>
  <si>
    <t>5.44 (4.69 ~ 6.19)</t>
  </si>
  <si>
    <t>16.75 (12.38 ~ 21.13)</t>
  </si>
  <si>
    <t>7.43 (6.58 ~ 8.28)</t>
  </si>
  <si>
    <t>89.19 (65.54 ~ 112.83)</t>
  </si>
  <si>
    <t>9.4 (8.19 ~ 10.62)</t>
  </si>
  <si>
    <t>10.22 (8.86 ~ 11.59)</t>
  </si>
  <si>
    <t>11.98 (10.43 ~ 13.53)</t>
  </si>
  <si>
    <t>262.68 (185.65 ~ 339.72)</t>
  </si>
  <si>
    <t>16.12 (13.83 ~ 18.41)</t>
  </si>
  <si>
    <t>11.93 (10.78 ~ 13.08)</t>
  </si>
  <si>
    <t>11.69 (9.96 ~ 13.43)</t>
  </si>
  <si>
    <t>211.83 (163.92 ~ 259.74)</t>
  </si>
  <si>
    <t>14.5 (12.79 ~ 16.21)</t>
  </si>
  <si>
    <t>21.64 (19.23 ~ 24.04)</t>
  </si>
  <si>
    <t>0.43 (0.36 ~ 0.5)</t>
  </si>
  <si>
    <t>0.54 (0.46 ~ 0.61)</t>
  </si>
  <si>
    <t>7.37 (6.33 ~ 8.42)</t>
  </si>
  <si>
    <t>14.37 (11.62 ~ 17.12)</t>
  </si>
  <si>
    <t>347.12 (253.51 ~ 440.74)</t>
  </si>
  <si>
    <t>18.55 (16.14 ~ 20.96)</t>
  </si>
  <si>
    <t>10.65 (8.17 ~ 13.12)</t>
  </si>
  <si>
    <t>34.93 (33.4 ~ 36.46)</t>
  </si>
  <si>
    <t>1816.91 (1606.11 ~ 2027.71)</t>
  </si>
  <si>
    <t>42.59 (40.1 ~ 45.07)</t>
  </si>
  <si>
    <t>19.21 (17.07 ~ 21.34)</t>
  </si>
  <si>
    <t>4.26 (3.25 ~ 5.27)</t>
  </si>
  <si>
    <t>28.9 (16.12 ~ 41.68)</t>
  </si>
  <si>
    <t>5.3 (4.09 ~ 6.52)</t>
  </si>
  <si>
    <t>16.44 (10.5 ~ 22.37)</t>
  </si>
  <si>
    <t>7.13 (5.98 ~ 8.28)</t>
  </si>
  <si>
    <t>79.82 (56.54 ~ 103.1)</t>
  </si>
  <si>
    <t>8.89 (7.59 ~ 10.18)</t>
  </si>
  <si>
    <t>9.75 (7.92 ~ 11.59)</t>
  </si>
  <si>
    <t>11.79 (10.08 ~ 13.51)</t>
  </si>
  <si>
    <t>247.13 (167.95 ~ 326.31)</t>
  </si>
  <si>
    <t>15.62 (13.1 ~ 18.13)</t>
  </si>
  <si>
    <t>11.81 (10.24 ~ 13.37)</t>
  </si>
  <si>
    <t>11.36 (9.91 ~ 12.82)</t>
  </si>
  <si>
    <t>194.59 (152.98 ~ 236.21)</t>
  </si>
  <si>
    <t>13.9 (12.36 ~ 15.45)</t>
  </si>
  <si>
    <t>21.31 (19.69 ~ 22.93)</t>
  </si>
  <si>
    <t>0.3 (0.19 ~ 0.41)</t>
  </si>
  <si>
    <t>0.54 (0.44 ~ 0.65)</t>
  </si>
  <si>
    <t>7.42 (6.19 ~ 8.65)</t>
  </si>
  <si>
    <t>14.2 (12.59 ~ 15.81)</t>
  </si>
  <si>
    <t>322.95 (246.32 ~ 399.58)</t>
  </si>
  <si>
    <t>17.91 (15.84 ~ 19.98)</t>
  </si>
  <si>
    <t>10.49 (8.8 ~ 12.17)</t>
  </si>
  <si>
    <t>32.57 (28.72 ~ 36.42)</t>
  </si>
  <si>
    <t>1646.34 (1222.93 ~ 2069.75)</t>
  </si>
  <si>
    <t>40.39 (35.05 ~ 45.73)</t>
  </si>
  <si>
    <t>17.66 (15.82 ~ 19.49)</t>
  </si>
  <si>
    <t>6.13 (4.8 ~ 7.45)</t>
  </si>
  <si>
    <t>58.59 (37.36 ~ 79.83)</t>
  </si>
  <si>
    <t>7.59 (6.19 ~ 8.99)</t>
  </si>
  <si>
    <t>22.66 (15.42 ~ 29.89)</t>
  </si>
  <si>
    <t>10.06 (8.59 ~ 11.53)</t>
  </si>
  <si>
    <t>163.6 (118.41 ~ 208.79)</t>
  </si>
  <si>
    <t>12.72 (10.93 ~ 14.52)</t>
  </si>
  <si>
    <t>13.73 (11.8 ~ 15.66)</t>
  </si>
  <si>
    <t>16.04 (14.31 ~ 17.76)</t>
  </si>
  <si>
    <t>452.69 (358.73 ~ 546.65)</t>
  </si>
  <si>
    <t>21.22 (19.05 ~ 23.39)</t>
  </si>
  <si>
    <t>16.24 (14.11 ~ 18.38)</t>
  </si>
  <si>
    <t>16.05 (14.27 ~ 17.83)</t>
  </si>
  <si>
    <t>399.15 (327.39 ~ 470.92)</t>
  </si>
  <si>
    <t>19.93 (18.06 ~ 21.8)</t>
  </si>
  <si>
    <t>30.42 (26.95 ~ 33.88)</t>
  </si>
  <si>
    <t>0.46 (0.3 ~ 0.63)</t>
  </si>
  <si>
    <t>0.67 (0.54 ~ 0.81)</t>
  </si>
  <si>
    <t>9.52 (7.61 ~ 11.43)</t>
  </si>
  <si>
    <t>19.37 (18.06 ~ 20.69)</t>
  </si>
  <si>
    <t>622.22 (559.6 ~ 684.83)</t>
  </si>
  <si>
    <t>24.93 (23.68 ~ 26.18)</t>
  </si>
  <si>
    <t>14.69 (12.95 ~ 16.43)</t>
  </si>
  <si>
    <t>41.7 (35.18 ~ 48.21)</t>
  </si>
  <si>
    <t>2661.4 (1699.35 ~ 3623.45)</t>
  </si>
  <si>
    <t>51.16 (41.94 ~ 60.38)</t>
  </si>
  <si>
    <t>22.94 (20.13 ~ 25.75)</t>
  </si>
  <si>
    <t>5.16 (4.28 ~ 6.03)</t>
  </si>
  <si>
    <t>41.1 (32.07 ~ 50.13)</t>
  </si>
  <si>
    <t>6.39 (5.67 ~ 7.11)</t>
  </si>
  <si>
    <t>19.41 (13.43 ~ 25.38)</t>
  </si>
  <si>
    <t>7.61 (6.62 ~ 8.6)</t>
  </si>
  <si>
    <t>95.18 (64.75 ~ 125.6)</t>
  </si>
  <si>
    <t>9.69 (8.17 ~ 11.21)</t>
  </si>
  <si>
    <t>10.44 (8.88 ~ 12)</t>
  </si>
  <si>
    <t>13.7 (11.94 ~ 15.46)</t>
  </si>
  <si>
    <t>314.16 (227.66 ~ 400.65)</t>
  </si>
  <si>
    <t>17.63 (15.1 ~ 20.16)</t>
  </si>
  <si>
    <t>13.97 (12.32 ~ 15.63)</t>
  </si>
  <si>
    <t>13.62 (11.71 ~ 15.53)</t>
  </si>
  <si>
    <t>289.84 (218.85 ~ 360.84)</t>
  </si>
  <si>
    <t>16.95 (14.72 ~ 19.18)</t>
  </si>
  <si>
    <t>26.4 (22.63 ~ 30.16)</t>
  </si>
  <si>
    <t>0.46 (0.33 ~ 0.59)</t>
  </si>
  <si>
    <t>0.34 (0.18 ~ 0.5)</t>
  </si>
  <si>
    <t>0.57 (0.43 ~ 0.72)</t>
  </si>
  <si>
    <t>8 (5.79 ~ 10.2)</t>
  </si>
  <si>
    <t>15.98 (13.33 ~ 18.62)</t>
  </si>
  <si>
    <t>442.53 (311.53 ~ 573.52)</t>
  </si>
  <si>
    <t>20.91 (17.71 ~ 24.11)</t>
  </si>
  <si>
    <t>12.12 (9.53 ~ 14.72)</t>
  </si>
  <si>
    <t>37.19 (30.73 ~ 43.66)</t>
  </si>
  <si>
    <t>2194.4 (1467.5 ~ 2921.3)</t>
  </si>
  <si>
    <t>46.51 (38.72 ~ 54.3)</t>
  </si>
  <si>
    <t>20.39 (17.56 ~ 23.21)</t>
  </si>
  <si>
    <t>0.37 (0.22 ~ 0.52)</t>
  </si>
  <si>
    <t>0.38 (0.21 ~ 0.55)</t>
  </si>
  <si>
    <t>0.61 (0.47 ~ 0.75)</t>
  </si>
  <si>
    <t>98.89 (95.8 ~ 101.97)</t>
  </si>
  <si>
    <t>0.04 (0.03 ~ 0.05)</t>
  </si>
  <si>
    <t>0.01 (0 ~ 0.01)</t>
  </si>
  <si>
    <t>0.07 (0.05 ~ 0.09)</t>
  </si>
  <si>
    <t>90.71 (76.91 ~ 104.5)</t>
  </si>
  <si>
    <t>0.3 (0.21 ~ 0.38)</t>
  </si>
  <si>
    <t>0.13 (0.08 ~ 0.17)</t>
  </si>
  <si>
    <t>0.35 (0.28 ~ 0.42)</t>
  </si>
  <si>
    <t>63.87 (35.32 ~ 92.42)</t>
  </si>
  <si>
    <t>0.27 (0.01 ~ 0.54)</t>
  </si>
  <si>
    <t>0.38 (-0.06 ~ 0.83)</t>
  </si>
  <si>
    <t>0.56 (0.19 ~ 0.93)</t>
  </si>
  <si>
    <t>98.33 (93.71 ~ 102.96)</t>
  </si>
  <si>
    <t>0.09 (0.03 ~ 0.16)</t>
  </si>
  <si>
    <t>0.02 (-0.01 ~ 0.05)</t>
  </si>
  <si>
    <t>0.13 (0.05 ~ 0.21)</t>
  </si>
  <si>
    <t>10.58 (3.73 ~ 17.43)</t>
  </si>
  <si>
    <t>0.08 (0.05 ~ 0.1)</t>
  </si>
  <si>
    <t>0.01 (0 ~ 0.02)</t>
  </si>
  <si>
    <t>0.1 (0.07 ~ 0.14)</t>
  </si>
  <si>
    <t>8.59 (5.71 ~ 11.46)</t>
  </si>
  <si>
    <t>0.16 (0.07 ~ 0.26)</t>
  </si>
  <si>
    <t>0.05 (0 ~ 0.1)</t>
  </si>
  <si>
    <t>0.21 (0.1 ~ 0.32)</t>
  </si>
  <si>
    <t>20.76 (9.52 ~ 32)</t>
  </si>
  <si>
    <t>0.29 (0.05 ~ 0.53)</t>
  </si>
  <si>
    <t>0.16 (-0.08 ~ 0.39)</t>
  </si>
  <si>
    <t>0.35 (0.11 ~ 0.6)</t>
  </si>
  <si>
    <t>37.4 (14.75 ~ 60.05)</t>
  </si>
  <si>
    <t>0.19 (0.05 ~ 0.33)</t>
  </si>
  <si>
    <t>0.06 (0 ~ 0.12)</t>
  </si>
  <si>
    <t>0.22 (0.05 ~ 0.39)</t>
  </si>
  <si>
    <t>58.01 (5.76 ~ 110.27)</t>
  </si>
  <si>
    <t>0.11 (0.06 ~ 0.15)</t>
  </si>
  <si>
    <t>0.33 (0.26 ~ 0.39)</t>
  </si>
  <si>
    <t>11.36 (1.27 ~ 21.46)</t>
  </si>
  <si>
    <t>0.02 (0.02 ~ 0.03)</t>
  </si>
  <si>
    <t>0 (0 ~ 0)</t>
  </si>
  <si>
    <t>0.05 (0.03 ~ 0.06)</t>
  </si>
  <si>
    <t>57.23 (30.36 ~ 84.1)</t>
  </si>
  <si>
    <t>0.13 (0.1 ~ 0.15)</t>
  </si>
  <si>
    <t>0.15 (0.13 ~ 0.18)</t>
  </si>
  <si>
    <t>32.67 (19.75 ~ 45.59)</t>
  </si>
  <si>
    <t>0.2 (0.03 ~ 0.37)</t>
  </si>
  <si>
    <t>0.28 (-0.06 ~ 0.63)</t>
  </si>
  <si>
    <t>0.49 (0.19 ~ 0.79)</t>
  </si>
  <si>
    <t>95 (81.12 ~ 108.88)</t>
  </si>
  <si>
    <t>0.06 (0.04 ~ 0.07)</t>
  </si>
  <si>
    <t>0.08 (0.06 ~ 0.09)</t>
  </si>
  <si>
    <t>6.49 (5.05 ~ 7.93)</t>
  </si>
  <si>
    <t>0.07 (0.04 ~ 0.09)</t>
  </si>
  <si>
    <t>5.54 (3.36 ~ 7.72)</t>
  </si>
  <si>
    <t>0.07 (0.06 ~ 0.09)</t>
  </si>
  <si>
    <t>0.1 (0.07 ~ 0.13)</t>
  </si>
  <si>
    <t>9.93 (5.96 ~ 13.91)</t>
  </si>
  <si>
    <t>0.15 (0.11 ~ 0.19)</t>
  </si>
  <si>
    <t>0.04 (0.02 ~ 0.06)</t>
  </si>
  <si>
    <t>0.2 (0.15 ~ 0.24)</t>
  </si>
  <si>
    <t>23.32 (8.52 ~ 38.12)</t>
  </si>
  <si>
    <t>0.14 (0.02 ~ 0.25)</t>
  </si>
  <si>
    <t>0.03 (-0.02 ~ 0.09)</t>
  </si>
  <si>
    <t>0.15 (0.01 ~ 0.29)</t>
  </si>
  <si>
    <t>34.89 (14.55 ~ 55.23)</t>
  </si>
  <si>
    <t>0.19 (0.08 ~ 0.3)</t>
  </si>
  <si>
    <t>0.2 (0.08 ~ 0.33)</t>
  </si>
  <si>
    <t>0.44 (0.29 ~ 0.58)</t>
  </si>
  <si>
    <t>24.42 (17.29 ~ 31.54)</t>
  </si>
  <si>
    <t>0.03 (0.02 ~ 0.04)</t>
  </si>
  <si>
    <t>0.05 (0.04 ~ 0.07)</t>
  </si>
  <si>
    <t>78.98 (47.46 ~ 110.5)</t>
  </si>
  <si>
    <t>0.14 (0.13 ~ 0.15)</t>
  </si>
  <si>
    <t>0.17 (0.15 ~ 0.19)</t>
  </si>
  <si>
    <t>36.62 (27.15 ~ 46.1)</t>
  </si>
  <si>
    <t>0.25 (0.09 ~ 0.42)</t>
  </si>
  <si>
    <t>0.34 (0.03 ~ 0.66)</t>
  </si>
  <si>
    <t>0.55 (0.29 ~ 0.82)</t>
  </si>
  <si>
    <t>92.78 (79.07 ~ 106.49)</t>
  </si>
  <si>
    <t>0.06 (0.05 ~ 0.06)</t>
  </si>
  <si>
    <t>0.08 (0.07 ~ 0.09)</t>
  </si>
  <si>
    <t>6.44 (5.39 ~ 7.49)</t>
  </si>
  <si>
    <t>0.07 (0.06 ~ 0.08)</t>
  </si>
  <si>
    <t>0.01 (0.01 ~ 0.01)</t>
  </si>
  <si>
    <t>0.09 (0.08 ~ 0.1)</t>
  </si>
  <si>
    <t>7.98 (6.64 ~ 9.32)</t>
  </si>
  <si>
    <t>0.09 (0.07 ~ 0.11)</t>
  </si>
  <si>
    <t>9.5 (6.1 ~ 12.91)</t>
  </si>
  <si>
    <t>0.16 (0.11 ~ 0.2)</t>
  </si>
  <si>
    <t>0.05 (0.02 ~ 0.07)</t>
  </si>
  <si>
    <t>0.21 (0.15 ~ 0.27)</t>
  </si>
  <si>
    <t>24.8 (7.73 ~ 41.87)</t>
  </si>
  <si>
    <t>0.12 (0.01 ~ 0.23)</t>
  </si>
  <si>
    <t>0.15 (0.01 ~ 0.3)</t>
  </si>
  <si>
    <t>35.26 (6.08 ~ 64.43)</t>
  </si>
  <si>
    <t>0.21 (0.07 ~ 0.36)</t>
  </si>
  <si>
    <t>0.23 (0.05 ~ 0.4)</t>
  </si>
  <si>
    <t>0.45 (0.25 ~ 0.65)</t>
  </si>
  <si>
    <t>52.75 (29.48 ~ 76.02)</t>
  </si>
  <si>
    <t>0.03 (0.02 ~ 0.03)</t>
  </si>
  <si>
    <t>0.05 (0.03 ~ 0.07)</t>
  </si>
  <si>
    <t>71.06 (51.56 ~ 90.55)</t>
  </si>
  <si>
    <t>0.12 (0.11 ~ 0.14)</t>
  </si>
  <si>
    <t>34.2 (17.67 ~ 50.73)</t>
  </si>
  <si>
    <t>0.2 (0.04 ~ 0.37)</t>
  </si>
  <si>
    <t>0.29 (-0.05 ~ 0.63)</t>
  </si>
  <si>
    <t>0.5 (0.2 ~ 0.79)</t>
  </si>
  <si>
    <t>0.05 (0.04 ~ 0.06)</t>
  </si>
  <si>
    <t>6.11 (4.66 ~ 7.55)</t>
  </si>
  <si>
    <t>0.06 (0.05 ~ 0.07)</t>
  </si>
  <si>
    <t>6.77 (5.18 ~ 8.37)</t>
  </si>
  <si>
    <t>0.06 (0.05 ~ 0.08)</t>
  </si>
  <si>
    <t>0.08 (0.06 ~ 0.11)</t>
  </si>
  <si>
    <t>8.42 (5.28 ~ 11.56)</t>
  </si>
  <si>
    <t>0.03 (0.01 ~ 0.06)</t>
  </si>
  <si>
    <t>0.18 (0.12 ~ 0.24)</t>
  </si>
  <si>
    <t>22.76 (8.29 ~ 37.24)</t>
  </si>
  <si>
    <t>0.14 (0.03 ~ 0.25)</t>
  </si>
  <si>
    <t>0.04 (-0.03 ~ 0.1)</t>
  </si>
  <si>
    <t>0.16 (0.03 ~ 0.3)</t>
  </si>
  <si>
    <t>41.76 (10.12 ~ 73.4)</t>
  </si>
  <si>
    <t>0.37 (0.21 ~ 0.54)</t>
  </si>
  <si>
    <t>0.39 (0.2 ~ 0.57)</t>
  </si>
  <si>
    <t>0.61 (0.46 ~ 0.76)</t>
  </si>
  <si>
    <t>100 (0 ~ 0)</t>
  </si>
  <si>
    <t>0 (0 ~ 0.01)</t>
  </si>
  <si>
    <t>0.07 (0.05 ~ 0.08)</t>
  </si>
  <si>
    <t>54.4 (48.36 ~ 60.44)</t>
  </si>
  <si>
    <t>0.16 (0.13 ~ 0.2)</t>
  </si>
  <si>
    <t>0.2 (0.16 ~ 0.25)</t>
  </si>
  <si>
    <t>47.75 (24.7 ~ 70.8)</t>
  </si>
  <si>
    <t>0.29 (-0.04 ~ 0.63)</t>
  </si>
  <si>
    <t>0.5 (0.21 ~ 0.79)</t>
  </si>
  <si>
    <t>6.35 (4.8 ~ 7.89)</t>
  </si>
  <si>
    <t>0.08 (0.06 ~ 0.1)</t>
  </si>
  <si>
    <t>6.76 (5.35 ~ 8.17)</t>
  </si>
  <si>
    <t>0.01 (0.01 ~ 0.02)</t>
  </si>
  <si>
    <t>0.12 (0.08 ~ 0.15)</t>
  </si>
  <si>
    <t>12.73 (7.96 ~ 17.49)</t>
  </si>
  <si>
    <t>0.19 (0.15 ~ 0.23)</t>
  </si>
  <si>
    <t>0.05 (0.02 ~ 0.08)</t>
  </si>
  <si>
    <t>0.22 (0.15 ~ 0.29)</t>
  </si>
  <si>
    <t>28.49 (9.89 ~ 47.09)</t>
  </si>
  <si>
    <t>0.14 (0.05 ~ 0.22)</t>
  </si>
  <si>
    <t>0.16 (0.04 ~ 0.28)</t>
  </si>
  <si>
    <t>40.17 (4.4 ~ 75.93)</t>
  </si>
  <si>
    <t>0.16 (0.12 ~ 0.2)</t>
  </si>
  <si>
    <t>0.21 (0.16 ~ 0.26)</t>
  </si>
  <si>
    <t>49.07 (24.59 ~ 73.55)</t>
  </si>
  <si>
    <t>6.19 (4.5 ~ 7.87)</t>
  </si>
  <si>
    <t>0.06 (0.04 ~ 0.08)</t>
  </si>
  <si>
    <t>6.88 (4.39 ~ 9.37)</t>
  </si>
  <si>
    <t>0.09 (0.07 ~ 0.1)</t>
  </si>
  <si>
    <t>0.02 (0.01 ~ 0.02)</t>
  </si>
  <si>
    <t>0.12 (0.08 ~ 0.16)</t>
  </si>
  <si>
    <t>12.85 (7.79 ~ 17.91)</t>
  </si>
  <si>
    <t>0.16 (0.08 ~ 0.24)</t>
  </si>
  <si>
    <t>0.07 (0.02 ~ 0.13)</t>
  </si>
  <si>
    <t>0.27 (0.18 ~ 0.35)</t>
  </si>
  <si>
    <t>29.27 (3.92 ~ 54.62)</t>
  </si>
  <si>
    <t>0.03 (-0.02 ~ 0.08)</t>
  </si>
  <si>
    <t>0.16 (0.04 ~ 0.27)</t>
  </si>
  <si>
    <t>40.31 (5.48 ~ 75.14)</t>
  </si>
  <si>
    <t>76.56 (47.48 ~ 105.64)</t>
  </si>
  <si>
    <t>0.14 (0.11 ~ 0.18)</t>
  </si>
  <si>
    <t>0.18 (0.15 ~ 0.21)</t>
  </si>
  <si>
    <t>42.02 (23.95 ~ 60.09)</t>
  </si>
  <si>
    <t>6.72 (5.58 ~ 7.86)</t>
  </si>
  <si>
    <t>7.32 (5.55 ~ 9.09)</t>
  </si>
  <si>
    <t>0.09 (0.07 ~ 0.12)</t>
  </si>
  <si>
    <t>9.84 (6.74 ~ 12.94)</t>
  </si>
  <si>
    <t>0.16 (0.1 ~ 0.21)</t>
  </si>
  <si>
    <t>25.74 (8.02 ~ 43.46)</t>
  </si>
  <si>
    <t>0.13 (0.04 ~ 0.23)</t>
  </si>
  <si>
    <t>0.03 (-0.03 ~ 0.1)</t>
  </si>
  <si>
    <t>35.05 (13.63 ~ 56.47)</t>
  </si>
  <si>
    <t>0.16 (0.06 ~ 0.25)</t>
  </si>
  <si>
    <t>0.17 (0.06 ~ 0.27)</t>
  </si>
  <si>
    <t>0.4 (0.26 ~ 0.53)</t>
  </si>
  <si>
    <t>20.39 (12.73 ~ 28.05)</t>
  </si>
  <si>
    <t>0.03 (0.03 ~ 0.04)</t>
  </si>
  <si>
    <t>89.79 (59.05 ~ 120.53)</t>
  </si>
  <si>
    <t>0.23 (0.2 ~ 0.26)</t>
  </si>
  <si>
    <t>44.07 (32.33 ~ 55.81)</t>
  </si>
  <si>
    <t>0.37 (0.18 ~ 0.56)</t>
  </si>
  <si>
    <t>0.51 (0.16 ~ 0.85)</t>
  </si>
  <si>
    <t>0.69 (0.44 ~ 0.94)</t>
  </si>
  <si>
    <t>91.11 (57.55 ~ 124.68)</t>
  </si>
  <si>
    <t>0.08 (0.07 ~ 0.1)</t>
  </si>
  <si>
    <t>7.1 (5.44 ~ 8.76)</t>
  </si>
  <si>
    <t>0.1 (0.08 ~ 0.12)</t>
  </si>
  <si>
    <t>8.85 (6.37 ~ 11.33)</t>
  </si>
  <si>
    <t>0.12 (0.09 ~ 0.15)</t>
  </si>
  <si>
    <t>12.15 (8.37 ~ 15.94)</t>
  </si>
  <si>
    <t>0.2 (0.12 ~ 0.28)</t>
  </si>
  <si>
    <t>0.1 (0.03 ~ 0.16)</t>
  </si>
  <si>
    <t>31.26 (13.78 ~ 48.73)</t>
  </si>
  <si>
    <t>0.15 (0.02 ~ 0.29)</t>
  </si>
  <si>
    <t>0.04 (-0.01 ~ 0.1)</t>
  </si>
  <si>
    <t>0.17 (0.01 ~ 0.34)</t>
  </si>
  <si>
    <t>44.14 (3.38 ~ 84.89)</t>
  </si>
  <si>
    <t>0.17 (0.05 ~ 0.29)</t>
  </si>
  <si>
    <t>0.18 (0.06 ~ 0.3)</t>
  </si>
  <si>
    <t>0.41 (0.26 ~ 0.56)</t>
  </si>
  <si>
    <t>19.42 (15.16 ~ 23.68)</t>
  </si>
  <si>
    <t>83.09 (42.43 ~ 123.76)</t>
  </si>
  <si>
    <t>0.14 (0.12 ~ 0.16)</t>
  </si>
  <si>
    <t>0.03 (0.02 ~ 0.05)</t>
  </si>
  <si>
    <t>0.18 (0.14 ~ 0.22)</t>
  </si>
  <si>
    <t>37.56 (25.17 ~ 49.94)</t>
  </si>
  <si>
    <t>0.27 (0.11 ~ 0.43)</t>
  </si>
  <si>
    <t>0.36 (0.05 ~ 0.66)</t>
  </si>
  <si>
    <t>0.57 (0.32 ~ 0.82)</t>
  </si>
  <si>
    <t>82.78 (56.69 ~ 108.86)</t>
  </si>
  <si>
    <t>7.06 (5.67 ~ 8.45)</t>
  </si>
  <si>
    <t>0.08 (0.07 ~ 0.08)</t>
  </si>
  <si>
    <t>0.1 (0.09 ~ 0.11)</t>
  </si>
  <si>
    <t>8.58 (7.61 ~ 9.55)</t>
  </si>
  <si>
    <t>10.61 (7.02 ~ 14.2)</t>
  </si>
  <si>
    <t>0.17 (0.12 ~ 0.22)</t>
  </si>
  <si>
    <t>0.05 (0.02 ~ 0.09)</t>
  </si>
  <si>
    <t>0.23 (0.16 ~ 0.29)</t>
  </si>
  <si>
    <t>26.07 (9.68 ~ 42.45)</t>
  </si>
  <si>
    <t>0.17 (0.08 ~ 0.26)</t>
  </si>
  <si>
    <t>0.05 (-0.02 ~ 0.12)</t>
  </si>
  <si>
    <t>0.2 (0.06 ~ 0.33)</t>
  </si>
  <si>
    <t>46.73 (21.69 ~ 71.77)</t>
  </si>
  <si>
    <t>707.71 (344.55 ~ 1070.88)</t>
  </si>
  <si>
    <t>7222199.64 (-776415.34 ~ 15220814.62)</t>
  </si>
  <si>
    <t>2475.74 (1024.48 ~ 3927.01)</t>
  </si>
  <si>
    <t>62.98 (50.57 ~ 75.4)</t>
  </si>
  <si>
    <t>34.42 (17.72 ~ 51.13)</t>
  </si>
  <si>
    <t>14397.84 (3611.53 ~ 25184.14)</t>
  </si>
  <si>
    <t>109.4 (40.99 ~ 177.82)</t>
  </si>
  <si>
    <t>65.01 (46.33 ~ 83.68)</t>
  </si>
  <si>
    <t>0.03 (0.01 ~ 0.05)</t>
  </si>
  <si>
    <t>66.28 (26.95 ~ 105.61)</t>
  </si>
  <si>
    <t>108.88 (89.4 ~ 128.36)</t>
  </si>
  <si>
    <t>20324.28 (15630.86 ~ 25017.71)</t>
  </si>
  <si>
    <t>142.03 (124.93 ~ 159.13)</t>
  </si>
  <si>
    <t>99.93 (55.11 ~ 144.75)</t>
  </si>
  <si>
    <t>23.77 (18.53 ~ 29.01)</t>
  </si>
  <si>
    <t>2470.81 (-1469.02 ~ 6410.65)</t>
  </si>
  <si>
    <t>43.85 (11.36 ~ 76.34)</t>
  </si>
  <si>
    <t>76.42 (58.88 ~ 93.97)</t>
  </si>
  <si>
    <t>10.9 (5.06 ~ 16.73)</t>
  </si>
  <si>
    <t>839.02 (-57.07 ~ 1735.11)</t>
  </si>
  <si>
    <t>26.18 (8.97 ~ 43.39)</t>
  </si>
  <si>
    <t>115.09 (41.35 ~ 188.83)</t>
  </si>
  <si>
    <t>0.4 (0.21 ~ 0.6)</t>
  </si>
  <si>
    <t>0.32 (0.06 ~ 0.59)</t>
  </si>
  <si>
    <t>0.54 (0.31 ~ 0.78)</t>
  </si>
  <si>
    <t>70.41 (55.39 ~ 85.42)</t>
  </si>
  <si>
    <t>3.07 (-0.19 ~ 6.34)</t>
  </si>
  <si>
    <t>274.62 (-470.67 ~ 1019.9)</t>
  </si>
  <si>
    <t>9.33 (-9.68 ~ 28.34)</t>
  </si>
  <si>
    <t>51.58 (41.95 ~ 61.22)</t>
  </si>
  <si>
    <t>577.3 (228.68 ~ 925.93)</t>
  </si>
  <si>
    <t>6888784.9 (-812956.65 ~ 14590526.44)</t>
  </si>
  <si>
    <t>2410.32 (968.21 ~ 3852.43)</t>
  </si>
  <si>
    <t>24.49 (17.63 ~ 31.35)</t>
  </si>
  <si>
    <t>24.8 (9.16 ~ 40.44)</t>
  </si>
  <si>
    <t>13112.13 (3003.61 ~ 23220.65)</t>
  </si>
  <si>
    <t>102.62 (32.09 ~ 173.15)</t>
  </si>
  <si>
    <t>28.76 (23.58 ~ 33.93)</t>
  </si>
  <si>
    <t>33.83 (18.68 ~ 48.98)</t>
  </si>
  <si>
    <t>57.87 (49.28 ~ 66.46)</t>
  </si>
  <si>
    <t>6308.66 (4474.63 ~ 8142.69)</t>
  </si>
  <si>
    <t>78.98 (67.32 ~ 90.64)</t>
  </si>
  <si>
    <t>53.25 (42.59 ~ 63.91)</t>
  </si>
  <si>
    <t>14.38 (6.13 ~ 22.63)</t>
  </si>
  <si>
    <t>1847.25 (-2213.59 ~ 5908.1)</t>
  </si>
  <si>
    <t>32.82 (-5.69 ~ 71.34)</t>
  </si>
  <si>
    <t>58.61 (45.78 ~ 71.45)</t>
  </si>
  <si>
    <t>7.64 (2.18 ~ 13.09)</t>
  </si>
  <si>
    <t>660.52 (-156.02 ~ 1477.05)</t>
  </si>
  <si>
    <t>22.31 (4.59 ~ 40.02)</t>
  </si>
  <si>
    <t>60.2 (43.35 ~ 77.06)</t>
  </si>
  <si>
    <t>0.32 (0.25 ~ 0.39)</t>
  </si>
  <si>
    <t>0.24 (0.08 ~ 0.4)</t>
  </si>
  <si>
    <t>0.48 (0.32 ~ 0.63)</t>
  </si>
  <si>
    <t>72.27 (36.92 ~ 107.62)</t>
  </si>
  <si>
    <t>2.34 (-0.86 ~ 5.55)</t>
  </si>
  <si>
    <t>270.54 (-473.09 ~ 1014.17)</t>
  </si>
  <si>
    <t>8.63 (-10.81 ~ 28.07)</t>
  </si>
  <si>
    <t>35.37 (27.02 ~ 43.71)</t>
  </si>
  <si>
    <t>584.76 (233.21 ~ 936.31)</t>
  </si>
  <si>
    <t>6911368.51 (-738360.36 ~ 14561097.39)</t>
  </si>
  <si>
    <t>2417.89 (985.12 ~ 3850.65)</t>
  </si>
  <si>
    <t>27.6 (19.11 ~ 36.09)</t>
  </si>
  <si>
    <t>25.88 (10.36 ~ 41.4)</t>
  </si>
  <si>
    <t>13302.65 (3001.13 ~ 23604.18)</t>
  </si>
  <si>
    <t>103.66 (33.45 ~ 173.87)</t>
  </si>
  <si>
    <t>36.98 (25.28 ~ 48.68)</t>
  </si>
  <si>
    <t>36.69 (15.02 ~ 58.36)</t>
  </si>
  <si>
    <t>59.23 (54.24 ~ 64.22)</t>
  </si>
  <si>
    <t>6685.55 (5262.24 ~ 8108.85)</t>
  </si>
  <si>
    <t>81.54 (73.04 ~ 90.03)</t>
  </si>
  <si>
    <t>51.94 (49.09 ~ 54.78)</t>
  </si>
  <si>
    <t>17.37 (9.92 ~ 24.82)</t>
  </si>
  <si>
    <t>2002.59 (-2054.04 ~ 6059.21)</t>
  </si>
  <si>
    <t>36.25 (-0.17 ~ 72.67)</t>
  </si>
  <si>
    <t>76.9 (50.63 ~ 103.17)</t>
  </si>
  <si>
    <t>8.11 (2.77 ~ 13.44)</t>
  </si>
  <si>
    <t>668.06 (-145.66 ~ 1481.78)</t>
  </si>
  <si>
    <t>22.77 (5.8 ~ 39.74)</t>
  </si>
  <si>
    <t>69.09 (51.84 ~ 86.34)</t>
  </si>
  <si>
    <t>0.31 (0.28 ~ 0.34)</t>
  </si>
  <si>
    <t>0.21 (0.11 ~ 0.31)</t>
  </si>
  <si>
    <t>0.45 (0.35 ~ 0.56)</t>
  </si>
  <si>
    <t>63.65 (37.51 ~ 89.8)</t>
  </si>
  <si>
    <t>2.43 (-0.78 ~ 5.63)</t>
  </si>
  <si>
    <t>273.23 (-476.76 ~ 1023.22)</t>
  </si>
  <si>
    <t>8.76 (-10.71 ~ 28.22)</t>
  </si>
  <si>
    <t>38.35 (22.14 ~ 54.55)</t>
  </si>
  <si>
    <t>580.41 (225.15 ~ 935.66)</t>
  </si>
  <si>
    <t>6889920.88 (-758623.06 ~ 14538464.81)</t>
  </si>
  <si>
    <t>2412.24 (975.56 ~ 3848.92)</t>
  </si>
  <si>
    <t>26.06 (18.6 ~ 33.52)</t>
  </si>
  <si>
    <t>24.72 (8.95 ~ 40.49)</t>
  </si>
  <si>
    <t>13257.86 (3012.83 ~ 23502.89)</t>
  </si>
  <si>
    <t>103.17 (32.18 ~ 174.15)</t>
  </si>
  <si>
    <t>28.59 (20.81 ~ 36.37)</t>
  </si>
  <si>
    <t>0.02 (0.02 ~ 0.02)</t>
  </si>
  <si>
    <t>38.92 (20.41 ~ 57.42)</t>
  </si>
  <si>
    <t>58.81 (49.39 ~ 68.23)</t>
  </si>
  <si>
    <t>6654.11 (5402.05 ~ 7906.17)</t>
  </si>
  <si>
    <t>81.37 (73.46 ~ 89.29)</t>
  </si>
  <si>
    <t>55.46 (45.42 ~ 65.49)</t>
  </si>
  <si>
    <t>15.89 (7.86 ~ 23.91)</t>
  </si>
  <si>
    <t>1876.54 (-2112.33 ~ 5865.42)</t>
  </si>
  <si>
    <t>33.91 (-3.51 ~ 71.33)</t>
  </si>
  <si>
    <t>74.42 (43.61 ~ 105.24)</t>
  </si>
  <si>
    <t>9.35 (3.9 ~ 14.8)</t>
  </si>
  <si>
    <t>720.64 (-119.96 ~ 1561.23)</t>
  </si>
  <si>
    <t>23.88 (6.87 ~ 40.9)</t>
  </si>
  <si>
    <t>98.38 (74.11 ~ 122.65)</t>
  </si>
  <si>
    <t>0.32 (0.3 ~ 0.35)</t>
  </si>
  <si>
    <t>0.2 (0.14 ~ 0.27)</t>
  </si>
  <si>
    <t>0.45 (0.38 ~ 0.52)</t>
  </si>
  <si>
    <t>69.23 (34.51 ~ 103.95)</t>
  </si>
  <si>
    <t>2.34 (-0.9 ~ 5.57)</t>
  </si>
  <si>
    <t>271.9 (-475.34 ~ 1019.15)</t>
  </si>
  <si>
    <t>8.66 (-10.83 ~ 28.14)</t>
  </si>
  <si>
    <t>35.96 (25.5 ~ 46.42)</t>
  </si>
  <si>
    <t>607.51 (253.5 ~ 961.51)</t>
  </si>
  <si>
    <t>7104126 (-798086.72 ~ 15006338.72)</t>
  </si>
  <si>
    <t>2452.37 (1003.01 ~ 3901.73)</t>
  </si>
  <si>
    <t>36.67 (19.39 ~ 53.94)</t>
  </si>
  <si>
    <t>28.55 (12.73 ~ 44.36)</t>
  </si>
  <si>
    <t>13711.05 (3244.36 ~ 24177.74)</t>
  </si>
  <si>
    <t>105.69 (35.72 ~ 175.66)</t>
  </si>
  <si>
    <t>67.46 (56.89 ~ 78.03)</t>
  </si>
  <si>
    <t>38.31 (20.06 ~ 56.57)</t>
  </si>
  <si>
    <t>75.04 (74.22 ~ 75.85)</t>
  </si>
  <si>
    <t>10466.54 (9232.79 ~ 11700.28)</t>
  </si>
  <si>
    <t>102.21 (96.12 ~ 108.3)</t>
  </si>
  <si>
    <t>80.9 (65.75 ~ 96.04)</t>
  </si>
  <si>
    <t>18.28 (10.09 ~ 26.47)</t>
  </si>
  <si>
    <t>2000.24 (-1997.46 ~ 5997.94)</t>
  </si>
  <si>
    <t>36.43 (0.41 ~ 72.45)</t>
  </si>
  <si>
    <t>98.57 (54.83 ~ 142.31)</t>
  </si>
  <si>
    <t>9.52 (3.67 ~ 15.36)</t>
  </si>
  <si>
    <t>794.41 (-70.97 ~ 1659.79)</t>
  </si>
  <si>
    <t>25.29 (8.03 ~ 42.55)</t>
  </si>
  <si>
    <t>95.58 (70.09 ~ 121.08)</t>
  </si>
  <si>
    <t>0.4 (0.36 ~ 0.43)</t>
  </si>
  <si>
    <t>0.25 (0.17 ~ 0.33)</t>
  </si>
  <si>
    <t>0.5 (0.41 ~ 0.58)</t>
  </si>
  <si>
    <t>88.49 (58.73 ~ 118.25)</t>
  </si>
  <si>
    <t>2.36 (-0.85 ~ 5.57)</t>
  </si>
  <si>
    <t>272.88 (-476.74 ~ 1022.5)</t>
  </si>
  <si>
    <t>8.7 (-10.8 ~ 28.19)</t>
  </si>
  <si>
    <t>36.67 (26.04 ~ 47.3)</t>
  </si>
  <si>
    <t>607.75 (253.45 ~ 962.05)</t>
  </si>
  <si>
    <t>7108824.95 (-797552.76 ~ 15015202.66)</t>
  </si>
  <si>
    <t>2453.06 (1002.84 ~ 3903.28)</t>
  </si>
  <si>
    <t>36.2 (20.16 ~ 52.23)</t>
  </si>
  <si>
    <t>28.52 (12.63 ~ 44.4)</t>
  </si>
  <si>
    <t>13755.54 (3251.37 ~ 24259.71)</t>
  </si>
  <si>
    <t>105.8 (35.53 ~ 176.07)</t>
  </si>
  <si>
    <t>63.12 (52.4 ~ 73.85)</t>
  </si>
  <si>
    <t>36.29 (19.39 ~ 53.2)</t>
  </si>
  <si>
    <t>73.64 (71.29 ~ 75.99)</t>
  </si>
  <si>
    <t>11259.89 (10215.9 ~ 12303.89)</t>
  </si>
  <si>
    <t>106.05 (101.1 ~ 111.01)</t>
  </si>
  <si>
    <t>67.24 (55.09 ~ 79.4)</t>
  </si>
  <si>
    <t>17.66 (9.53 ~ 25.79)</t>
  </si>
  <si>
    <t>2087.4 (-1990.4 ~ 6165.2)</t>
  </si>
  <si>
    <t>37.59 (1.54 ~ 73.64)</t>
  </si>
  <si>
    <t>72.46 (42.03 ~ 102.9)</t>
  </si>
  <si>
    <t>9.36 (3.58 ~ 15.13)</t>
  </si>
  <si>
    <t>822.96 (-58.32 ~ 1704.23)</t>
  </si>
  <si>
    <t>25.85 (8.59 ~ 43.11)</t>
  </si>
  <si>
    <t>57.47 (43.51 ~ 71.44)</t>
  </si>
  <si>
    <t>0.36 (0.28 ~ 0.45)</t>
  </si>
  <si>
    <t>0.28 (0.14 ~ 0.42)</t>
  </si>
  <si>
    <t>0.52 (0.37 ~ 0.66)</t>
  </si>
  <si>
    <t>59.41 (43.46 ~ 75.35)</t>
  </si>
  <si>
    <t>273.37 (-477.39 ~ 1024.13)</t>
  </si>
  <si>
    <t>8.72 (-10.78 ~ 28.22)</t>
  </si>
  <si>
    <t>34.36 (24.01 ~ 44.71)</t>
  </si>
  <si>
    <t>594.64 (238.87 ~ 950.41)</t>
  </si>
  <si>
    <t>6923385.64 (-736537.41 ~ 14583308.68)</t>
  </si>
  <si>
    <t>2418.97 (981.65 ~ 3856.29)</t>
  </si>
  <si>
    <t>30.75 (23.51 ~ 37.99)</t>
  </si>
  <si>
    <t>26.66 (10.68 ~ 42.63)</t>
  </si>
  <si>
    <t>13344.87 (3050.88 ~ 23638.85)</t>
  </si>
  <si>
    <t>103.86 (33.66 ~ 174.07)</t>
  </si>
  <si>
    <t>39.83 (30.25 ~ 49.41)</t>
  </si>
  <si>
    <t>36.37 (22.32 ~ 50.42)</t>
  </si>
  <si>
    <t>74.99 (67.74 ~ 82.24)</t>
  </si>
  <si>
    <t>10839.74 (8290.06 ~ 13389.42)</t>
  </si>
  <si>
    <t>103.73 (91.28 ~ 116.17)</t>
  </si>
  <si>
    <t>66.33 (59.86 ~ 72.81)</t>
  </si>
  <si>
    <t>20.67 (10.91 ~ 30.44)</t>
  </si>
  <si>
    <t>2305.81 (-2027.82 ~ 6639.45)</t>
  </si>
  <si>
    <t>40.23 (3.84 ~ 76.63)</t>
  </si>
  <si>
    <t>88.18 (52.52 ~ 123.85)</t>
  </si>
  <si>
    <t>8.3 (3.71 ~ 12.89)</t>
  </si>
  <si>
    <t>667.54 (-92.92 ~ 1427.99)</t>
  </si>
  <si>
    <t>23.35 (7.99 ~ 38.71)</t>
  </si>
  <si>
    <t>69.02 (41.59 ~ 96.45)</t>
  </si>
  <si>
    <t>0.4 (0.27 ~ 0.53)</t>
  </si>
  <si>
    <t>0.36 (0.06 ~ 0.65)</t>
  </si>
  <si>
    <t>82.54 (53.5 ~ 111.57)</t>
  </si>
  <si>
    <t>2.8 (-0.43 ~ 6.03)</t>
  </si>
  <si>
    <t>271.36 (-469.21 ~ 1011.94)</t>
  </si>
  <si>
    <t>9.03 (-10.1 ~ 28.16)</t>
  </si>
  <si>
    <t>48.99 (31.05 ~ 66.93)</t>
  </si>
  <si>
    <t>586.8 (234.47 ~ 939.13)</t>
  </si>
  <si>
    <t>6913161.76 (-741198.66 ~ 14567522.19)</t>
  </si>
  <si>
    <t>2417.47 (982.14 ~ 3852.8)</t>
  </si>
  <si>
    <t>28.2 (19.68 ~ 36.71)</t>
  </si>
  <si>
    <t>26.22 (10.65 ~ 41.78)</t>
  </si>
  <si>
    <t>13307.26 (2988.07 ~ 23626.44)</t>
  </si>
  <si>
    <t>103.71 (33.6 ~ 173.83)</t>
  </si>
  <si>
    <t>39.06 (25.77 ~ 52.36)</t>
  </si>
  <si>
    <t>36.75 (16.48 ~ 57.03)</t>
  </si>
  <si>
    <t>62.78 (55.59 ~ 69.97)</t>
  </si>
  <si>
    <t>7631.38 (5929.77 ~ 9332.99)</t>
  </si>
  <si>
    <t>87.09 (77.56 ~ 96.61)</t>
  </si>
  <si>
    <t>53.98 (49.6 ~ 58.35)</t>
  </si>
  <si>
    <t>18.16 (10.32 ~ 26.01)</t>
  </si>
  <si>
    <t>2084.45 (-2079.72 ~ 6248.61)</t>
  </si>
  <si>
    <t>37.29 (0.71 ~ 73.86)</t>
  </si>
  <si>
    <t>82.68 (50.19 ~ 115.16)</t>
  </si>
  <si>
    <t>8.1 (2.87 ~ 13.32)</t>
  </si>
  <si>
    <t>671.24 (-141.14 ~ 1483.61)</t>
  </si>
  <si>
    <t>22.86 (5.92 ~ 39.79)</t>
  </si>
  <si>
    <t>68.18 (44.55 ~ 91.81)</t>
  </si>
  <si>
    <t>0.33 (0.27 ~ 0.39)</t>
  </si>
  <si>
    <t>0.23 (0.1 ~ 0.36)</t>
  </si>
  <si>
    <t>0.47 (0.34 ~ 0.6)</t>
  </si>
  <si>
    <t>62.58 (45.76 ~ 79.4)</t>
  </si>
  <si>
    <t>2.53 (-0.69 ~ 5.75)</t>
  </si>
  <si>
    <t>273.23 (-475.9 ~ 1022.37)</t>
  </si>
  <si>
    <t>8.82 (-10.59 ~ 28.23)</t>
  </si>
  <si>
    <t>41.08 (22.66 ~ 59.5)</t>
  </si>
  <si>
    <t>45.91 (33.48 ~ 58.33)</t>
  </si>
  <si>
    <t>3946.98 (1722.48 ~ 6171.48)</t>
  </si>
  <si>
    <t>61.2 (41.5 ~ 80.9)</t>
  </si>
  <si>
    <t>22.13 (13.65 ~ 30.62)</t>
  </si>
  <si>
    <t>5.06 (1.38 ~ 8.73)</t>
  </si>
  <si>
    <t>332 (-510.77 ~ 1174.77)</t>
  </si>
  <si>
    <t>12.1 (-6.81 ~ 31.01)</t>
  </si>
  <si>
    <t>26.7 (19.85 ~ 33.56)</t>
  </si>
  <si>
    <t>33.28 (16.39 ~ 50.16)</t>
  </si>
  <si>
    <t>51.17 (38.11 ~ 64.22)</t>
  </si>
  <si>
    <t>4385.54 (2271.39 ~ 6499.68)</t>
  </si>
  <si>
    <t>65.35 (50.43 ~ 80.26)</t>
  </si>
  <si>
    <t>52.82 (39.62 ~ 66.01)</t>
  </si>
  <si>
    <t>8.94 (6.51 ~ 11.36)</t>
  </si>
  <si>
    <t>196.57 (60.4 ~ 332.74)</t>
  </si>
  <si>
    <t>13.55 (8.58 ~ 18.53)</t>
  </si>
  <si>
    <t>52.25 (28.47 ~ 76.03)</t>
  </si>
  <si>
    <t>2.94 (1.28 ~ 4.6)</t>
  </si>
  <si>
    <t>38.36 (-11.25 ~ 87.97)</t>
  </si>
  <si>
    <t>5.41 (1.22 ~ 9.6)</t>
  </si>
  <si>
    <t>53.4 (46.62 ~ 60.18)</t>
  </si>
  <si>
    <t>0.26 (0.21 ~ 0.31)</t>
  </si>
  <si>
    <t>0.13 (0.08 ~ 0.18)</t>
  </si>
  <si>
    <t>0.36 (0.29 ~ 0.43)</t>
  </si>
  <si>
    <t>56.32 (29.68 ~ 82.96)</t>
  </si>
  <si>
    <t>0.96 (0.78 ~ 1.15)</t>
  </si>
  <si>
    <t>1.5 (1.01 ~ 1.99)</t>
  </si>
  <si>
    <t>1.22 (1.01 ~ 1.42)</t>
  </si>
  <si>
    <t>34.1 (22.08 ~ 46.11)</t>
  </si>
  <si>
    <t>MSE</t>
    <phoneticPr fontId="2" type="noConversion"/>
  </si>
  <si>
    <t>MAE</t>
    <phoneticPr fontId="2" type="noConversion"/>
  </si>
  <si>
    <t>F1_Macro</t>
  </si>
  <si>
    <t>AUROC</t>
  </si>
  <si>
    <t>AUPRC</t>
  </si>
  <si>
    <t>Top-K</t>
  </si>
  <si>
    <t>GCN</t>
  </si>
  <si>
    <t>83.2 (80.4 ~ 86.1)</t>
  </si>
  <si>
    <t>1</t>
  </si>
  <si>
    <t>84.1 (82.0 ~ 86.3)</t>
  </si>
  <si>
    <t>3</t>
  </si>
  <si>
    <t>5</t>
  </si>
  <si>
    <t>60.0 (55.5 ~ 64.4)</t>
  </si>
  <si>
    <t>72.0 (69.6 ~ 74.3)</t>
  </si>
  <si>
    <t>10</t>
  </si>
  <si>
    <t>65.6 (62.2 ~ 69.0)</t>
  </si>
  <si>
    <t>20</t>
  </si>
  <si>
    <t>67.8 (65.0 ~ 70.6)</t>
  </si>
  <si>
    <t>83.8 (81.7 ~ 86.0)</t>
  </si>
  <si>
    <t>70.4 (67.8 ~ 73.0)</t>
  </si>
  <si>
    <t>65.5 (63.3 ~ 67.7)</t>
  </si>
  <si>
    <t>69.6 (67.3 ~ 72.0)</t>
  </si>
  <si>
    <t>84.1 (81.8 ~ 86.3)</t>
  </si>
  <si>
    <t>70.8 (68.1 ~ 73.4)</t>
  </si>
  <si>
    <t>66.0 (62.9 ~ 69.0)</t>
  </si>
  <si>
    <t>70.2 (67.4 ~ 73.0)</t>
  </si>
  <si>
    <t>82.7 (81.4 ~ 84.1)</t>
  </si>
  <si>
    <t>68.6 (66.9 ~ 70.3)</t>
  </si>
  <si>
    <t>66.2 (65.0 ~ 67.5)</t>
  </si>
  <si>
    <t>69.6 (67.6 ~ 71.6)</t>
  </si>
  <si>
    <t>82.5 (81.0 ~ 83.9)</t>
  </si>
  <si>
    <t>68.3 (65.7 ~ 71.0)</t>
  </si>
  <si>
    <t>65.1 (62.6 ~ 67.6)</t>
  </si>
  <si>
    <t>69.0 (67.3 ~ 70.6)</t>
  </si>
  <si>
    <t>83.1 (80.9 ~ 85.4)</t>
  </si>
  <si>
    <t>69.2 (66.2 ~ 72.2)</t>
  </si>
  <si>
    <t>60.9 (57.3 ~ 64.5)</t>
  </si>
  <si>
    <t>72.1 (69.5 ~ 74.8)</t>
  </si>
  <si>
    <t>81.4 (79.6 ~ 83.2)</t>
  </si>
  <si>
    <t>66.6 (64.0 ~ 69.2)</t>
  </si>
  <si>
    <t>59.0 (56.5 ~ 61.4)</t>
  </si>
  <si>
    <t>71.5 (69.4 ~ 73.7)</t>
  </si>
  <si>
    <r>
      <rPr>
        <sz val="10"/>
        <rFont val="新細明體"/>
        <family val="1"/>
        <charset val="136"/>
      </rPr>
      <t>∞</t>
    </r>
  </si>
  <si>
    <t>Best-Clf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</si>
</sst>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4" x14ac:knownFonts="1">
    <font>
      <sz val="12"/>
      <color theme="1"/>
      <name val="新細明體"/>
      <family val="2"/>
      <scheme val="minor"/>
    </font>
    <font>
      <sz val="11"/>
      <color rgb="FF000000"/>
      <name val="Times New Roman"/>
      <family val="1"/>
    </font>
    <font>
      <sz val="9"/>
      <name val="新細明體"/>
      <family val="3"/>
      <charset val="136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1"/>
      <name val="Segoe UI"/>
      <family val="2"/>
    </font>
    <font>
      <sz val="11"/>
      <name val="Segoe UI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2" fontId="6" fillId="0" borderId="0" xfId="0" applyNumberFormat="1" applyFont="1"/>
    <xf numFmtId="2" fontId="8" fillId="0" borderId="0" xfId="0" applyNumberFormat="1" applyFont="1"/>
    <xf numFmtId="0" fontId="6" fillId="0" borderId="3" xfId="0" applyFont="1" applyBorder="1"/>
    <xf numFmtId="0" fontId="0" fillId="0" borderId="3" xfId="0" applyBorder="1"/>
    <xf numFmtId="0" fontId="7" fillId="0" borderId="6" xfId="0" applyFont="1" applyBorder="1" applyAlignment="1">
      <alignment vertical="center"/>
    </xf>
    <xf numFmtId="0" fontId="0" fillId="2" borderId="0" xfId="0" applyFill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11" fontId="6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23" sqref="D23"/>
    </sheetView>
  </sheetViews>
  <sheetFormatPr defaultRowHeight="16.5" x14ac:dyDescent="0.25"/>
  <cols>
    <col min="1" max="1" width="25.625" customWidth="1"/>
    <col min="2" max="4" width="10.625" customWidth="1"/>
    <col min="5" max="5" width="12.625" customWidth="1"/>
  </cols>
  <sheetData>
    <row r="1" spans="1: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25">
      <c r="A2" s="20" t="s">
        <v>45</v>
      </c>
      <c r="B2" s="21">
        <v>420</v>
      </c>
      <c r="C2" s="21">
        <v>235</v>
      </c>
      <c r="D2" s="21">
        <v>537</v>
      </c>
      <c r="E2" s="21">
        <v>1192</v>
      </c>
    </row>
    <row r="3" spans="1:5" x14ac:dyDescent="0.25">
      <c r="A3" s="20" t="s">
        <v>5</v>
      </c>
      <c r="B3" s="21" t="s">
        <v>6</v>
      </c>
      <c r="C3" s="21" t="s">
        <v>7</v>
      </c>
      <c r="D3" s="21" t="s">
        <v>8</v>
      </c>
      <c r="E3" s="21" t="s">
        <v>9</v>
      </c>
    </row>
    <row r="4" spans="1:5" x14ac:dyDescent="0.25">
      <c r="A4" s="20" t="s">
        <v>47</v>
      </c>
      <c r="B4" s="21"/>
      <c r="C4" s="21"/>
      <c r="D4" s="21"/>
      <c r="E4" s="21"/>
    </row>
    <row r="5" spans="1:5" x14ac:dyDescent="0.25">
      <c r="A5" s="20" t="s">
        <v>46</v>
      </c>
      <c r="B5" s="21" t="s">
        <v>10</v>
      </c>
      <c r="C5" s="21" t="s">
        <v>11</v>
      </c>
      <c r="D5" s="22" t="s">
        <v>12</v>
      </c>
      <c r="E5" s="21" t="s">
        <v>13</v>
      </c>
    </row>
    <row r="6" spans="1:5" x14ac:dyDescent="0.25">
      <c r="A6" s="20" t="s">
        <v>48</v>
      </c>
      <c r="B6" s="21" t="s">
        <v>14</v>
      </c>
      <c r="C6" s="21" t="s">
        <v>15</v>
      </c>
      <c r="D6" s="22" t="s">
        <v>16</v>
      </c>
      <c r="E6" s="21" t="s">
        <v>17</v>
      </c>
    </row>
    <row r="7" spans="1:5" x14ac:dyDescent="0.25">
      <c r="A7" s="20" t="s">
        <v>49</v>
      </c>
      <c r="B7" s="21" t="s">
        <v>18</v>
      </c>
      <c r="C7" s="21" t="s">
        <v>18</v>
      </c>
      <c r="D7" s="22" t="s">
        <v>19</v>
      </c>
      <c r="E7" s="21" t="s">
        <v>20</v>
      </c>
    </row>
    <row r="8" spans="1:5" x14ac:dyDescent="0.25">
      <c r="A8" s="20" t="s">
        <v>50</v>
      </c>
      <c r="B8" s="21" t="s">
        <v>19</v>
      </c>
      <c r="C8" s="21" t="s">
        <v>21</v>
      </c>
      <c r="D8" s="22" t="s">
        <v>22</v>
      </c>
      <c r="E8" s="21" t="s">
        <v>23</v>
      </c>
    </row>
    <row r="9" spans="1:5" x14ac:dyDescent="0.25">
      <c r="A9" s="20" t="s">
        <v>51</v>
      </c>
      <c r="B9" s="21" t="s">
        <v>24</v>
      </c>
      <c r="C9" s="21" t="s">
        <v>18</v>
      </c>
      <c r="D9" s="22" t="s">
        <v>19</v>
      </c>
      <c r="E9" s="21" t="s">
        <v>199</v>
      </c>
    </row>
    <row r="10" spans="1:5" x14ac:dyDescent="0.25">
      <c r="A10" s="20" t="s">
        <v>41</v>
      </c>
      <c r="B10" s="21" t="s">
        <v>42</v>
      </c>
      <c r="C10" s="21" t="s">
        <v>21</v>
      </c>
      <c r="D10" s="21" t="s">
        <v>43</v>
      </c>
      <c r="E10" s="21" t="s">
        <v>44</v>
      </c>
    </row>
    <row r="11" spans="1:5" x14ac:dyDescent="0.25">
      <c r="A11" s="20" t="s">
        <v>52</v>
      </c>
      <c r="B11" s="21"/>
      <c r="C11" s="21"/>
      <c r="D11" s="21"/>
      <c r="E11" s="21"/>
    </row>
    <row r="12" spans="1:5" x14ac:dyDescent="0.25">
      <c r="A12" s="20" t="s">
        <v>53</v>
      </c>
      <c r="B12" s="21" t="s">
        <v>25</v>
      </c>
      <c r="C12" s="21" t="s">
        <v>26</v>
      </c>
      <c r="D12" s="21" t="s">
        <v>27</v>
      </c>
      <c r="E12" s="21" t="s">
        <v>28</v>
      </c>
    </row>
    <row r="13" spans="1:5" x14ac:dyDescent="0.25">
      <c r="A13" s="20" t="s">
        <v>54</v>
      </c>
      <c r="B13" s="21" t="s">
        <v>29</v>
      </c>
      <c r="C13" s="21" t="s">
        <v>30</v>
      </c>
      <c r="D13" s="21" t="s">
        <v>31</v>
      </c>
      <c r="E13" s="21" t="s">
        <v>32</v>
      </c>
    </row>
    <row r="14" spans="1:5" x14ac:dyDescent="0.25">
      <c r="A14" s="20" t="s">
        <v>55</v>
      </c>
      <c r="B14" s="21" t="s">
        <v>33</v>
      </c>
      <c r="C14" s="21" t="s">
        <v>34</v>
      </c>
      <c r="D14" s="21" t="s">
        <v>35</v>
      </c>
      <c r="E14" s="21" t="s">
        <v>36</v>
      </c>
    </row>
    <row r="15" spans="1:5" x14ac:dyDescent="0.25">
      <c r="A15" s="20" t="s">
        <v>56</v>
      </c>
      <c r="B15" s="21" t="s">
        <v>37</v>
      </c>
      <c r="C15" s="21" t="s">
        <v>38</v>
      </c>
      <c r="D15" s="21" t="s">
        <v>39</v>
      </c>
      <c r="E15" s="21" t="s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C38C-6CA3-46AF-9105-879D6E3143F4}">
  <dimension ref="A1:K53"/>
  <sheetViews>
    <sheetView workbookViewId="0">
      <selection activeCell="D14" sqref="D14"/>
    </sheetView>
  </sheetViews>
  <sheetFormatPr defaultRowHeight="16.5" x14ac:dyDescent="0.25"/>
  <cols>
    <col min="1" max="1" width="22.25" customWidth="1"/>
    <col min="2" max="5" width="12.625" customWidth="1"/>
    <col min="7" max="8" width="21" customWidth="1"/>
    <col min="9" max="11" width="10.625" customWidth="1"/>
  </cols>
  <sheetData>
    <row r="1" spans="1:11" x14ac:dyDescent="0.25">
      <c r="A1" s="3" t="s">
        <v>61</v>
      </c>
      <c r="B1" s="4" t="s">
        <v>57</v>
      </c>
      <c r="C1" s="4" t="s">
        <v>58</v>
      </c>
      <c r="D1" s="4" t="s">
        <v>59</v>
      </c>
      <c r="E1" s="4" t="s">
        <v>60</v>
      </c>
      <c r="G1" s="24" t="s">
        <v>61</v>
      </c>
      <c r="H1" s="24" t="s">
        <v>123</v>
      </c>
      <c r="I1" s="24" t="s">
        <v>381</v>
      </c>
      <c r="J1" s="24" t="s">
        <v>382</v>
      </c>
      <c r="K1" s="24" t="s">
        <v>383</v>
      </c>
    </row>
    <row r="2" spans="1:11" x14ac:dyDescent="0.25">
      <c r="A2" s="2" t="s">
        <v>62</v>
      </c>
      <c r="B2" s="1">
        <v>7</v>
      </c>
      <c r="C2" s="1" t="s">
        <v>18</v>
      </c>
      <c r="D2" s="1" t="s">
        <v>20</v>
      </c>
      <c r="E2" s="1" t="s">
        <v>63</v>
      </c>
      <c r="G2" s="25" t="s">
        <v>62</v>
      </c>
      <c r="H2" s="25" t="s">
        <v>384</v>
      </c>
      <c r="I2" s="25">
        <v>0</v>
      </c>
      <c r="J2" s="25">
        <v>0</v>
      </c>
      <c r="K2" s="25">
        <v>1192</v>
      </c>
    </row>
    <row r="3" spans="1:11" x14ac:dyDescent="0.25">
      <c r="A3" s="2" t="s">
        <v>64</v>
      </c>
      <c r="B3" s="1">
        <v>13</v>
      </c>
      <c r="C3" s="1" t="s">
        <v>18</v>
      </c>
      <c r="D3" s="1" t="s">
        <v>18</v>
      </c>
      <c r="E3" s="1" t="s">
        <v>65</v>
      </c>
      <c r="G3" s="25" t="s">
        <v>62</v>
      </c>
      <c r="H3" s="25" t="s">
        <v>385</v>
      </c>
      <c r="I3" s="25">
        <v>0</v>
      </c>
      <c r="J3" s="25">
        <v>0</v>
      </c>
      <c r="K3" s="25">
        <v>1192</v>
      </c>
    </row>
    <row r="4" spans="1:11" x14ac:dyDescent="0.25">
      <c r="A4" s="2" t="s">
        <v>66</v>
      </c>
      <c r="B4" s="1">
        <v>7</v>
      </c>
      <c r="C4" s="1" t="s">
        <v>67</v>
      </c>
      <c r="D4" s="1" t="s">
        <v>68</v>
      </c>
      <c r="E4" s="1" t="s">
        <v>69</v>
      </c>
      <c r="G4" s="25" t="s">
        <v>62</v>
      </c>
      <c r="H4" s="25" t="s">
        <v>386</v>
      </c>
      <c r="I4" s="25">
        <v>1</v>
      </c>
      <c r="J4" s="25">
        <v>0.1</v>
      </c>
      <c r="K4" s="25">
        <v>1191</v>
      </c>
    </row>
    <row r="5" spans="1:11" x14ac:dyDescent="0.25">
      <c r="A5" s="2" t="s">
        <v>70</v>
      </c>
      <c r="B5" s="1">
        <v>7</v>
      </c>
      <c r="C5" s="1" t="s">
        <v>18</v>
      </c>
      <c r="D5" s="1" t="s">
        <v>18</v>
      </c>
      <c r="E5" s="1" t="s">
        <v>65</v>
      </c>
      <c r="G5" s="25" t="s">
        <v>62</v>
      </c>
      <c r="H5" s="25" t="s">
        <v>387</v>
      </c>
      <c r="I5" s="25">
        <v>0</v>
      </c>
      <c r="J5" s="25">
        <v>0</v>
      </c>
      <c r="K5" s="25">
        <v>1192</v>
      </c>
    </row>
    <row r="6" spans="1:11" x14ac:dyDescent="0.25">
      <c r="A6" s="2" t="s">
        <v>71</v>
      </c>
      <c r="B6" s="1">
        <v>9</v>
      </c>
      <c r="C6" s="1" t="s">
        <v>72</v>
      </c>
      <c r="D6" s="1" t="s">
        <v>73</v>
      </c>
      <c r="E6" s="1" t="s">
        <v>74</v>
      </c>
      <c r="G6" s="25" t="s">
        <v>62</v>
      </c>
      <c r="H6" s="25" t="s">
        <v>388</v>
      </c>
      <c r="I6" s="25">
        <v>0</v>
      </c>
      <c r="J6" s="25">
        <v>0</v>
      </c>
      <c r="K6" s="25">
        <v>1192</v>
      </c>
    </row>
    <row r="7" spans="1:11" x14ac:dyDescent="0.25">
      <c r="A7" s="2" t="s">
        <v>75</v>
      </c>
      <c r="B7" s="1">
        <v>1</v>
      </c>
      <c r="C7" s="1" t="s">
        <v>76</v>
      </c>
      <c r="D7" s="1" t="s">
        <v>18</v>
      </c>
      <c r="E7" s="1" t="s">
        <v>77</v>
      </c>
      <c r="G7" s="25" t="s">
        <v>62</v>
      </c>
      <c r="H7" s="25" t="s">
        <v>389</v>
      </c>
      <c r="I7" s="25">
        <v>0</v>
      </c>
      <c r="J7" s="25">
        <v>0</v>
      </c>
      <c r="K7" s="25">
        <v>1192</v>
      </c>
    </row>
    <row r="8" spans="1:11" x14ac:dyDescent="0.25">
      <c r="A8" s="2" t="s">
        <v>78</v>
      </c>
      <c r="B8" s="1">
        <v>8</v>
      </c>
      <c r="C8" s="1" t="s">
        <v>79</v>
      </c>
      <c r="D8" s="1" t="s">
        <v>80</v>
      </c>
      <c r="E8" s="1" t="s">
        <v>81</v>
      </c>
      <c r="G8" s="25" t="s">
        <v>62</v>
      </c>
      <c r="H8" s="25" t="s">
        <v>390</v>
      </c>
      <c r="I8" s="25">
        <v>0</v>
      </c>
      <c r="J8" s="25">
        <v>0</v>
      </c>
      <c r="K8" s="25">
        <v>1192</v>
      </c>
    </row>
    <row r="9" spans="1:11" x14ac:dyDescent="0.25">
      <c r="G9" s="25" t="s">
        <v>64</v>
      </c>
      <c r="H9" s="25" t="s">
        <v>391</v>
      </c>
      <c r="I9" s="25">
        <v>0</v>
      </c>
      <c r="J9" s="25">
        <v>0</v>
      </c>
      <c r="K9" s="25">
        <v>1192</v>
      </c>
    </row>
    <row r="10" spans="1:11" x14ac:dyDescent="0.25">
      <c r="G10" s="25" t="s">
        <v>64</v>
      </c>
      <c r="H10" s="25" t="s">
        <v>392</v>
      </c>
      <c r="I10" s="25">
        <v>0</v>
      </c>
      <c r="J10" s="25">
        <v>0</v>
      </c>
      <c r="K10" s="25">
        <v>1192</v>
      </c>
    </row>
    <row r="11" spans="1:11" x14ac:dyDescent="0.25">
      <c r="G11" s="25" t="s">
        <v>64</v>
      </c>
      <c r="H11" s="25" t="s">
        <v>393</v>
      </c>
      <c r="I11" s="25">
        <v>0</v>
      </c>
      <c r="J11" s="25">
        <v>0</v>
      </c>
      <c r="K11" s="25">
        <v>1192</v>
      </c>
    </row>
    <row r="12" spans="1:11" x14ac:dyDescent="0.25">
      <c r="G12" s="25" t="s">
        <v>64</v>
      </c>
      <c r="H12" s="25" t="s">
        <v>394</v>
      </c>
      <c r="I12" s="25">
        <v>0</v>
      </c>
      <c r="J12" s="25">
        <v>0</v>
      </c>
      <c r="K12" s="25">
        <v>1192</v>
      </c>
    </row>
    <row r="13" spans="1:11" x14ac:dyDescent="0.25">
      <c r="G13" s="25" t="s">
        <v>64</v>
      </c>
      <c r="H13" s="25" t="s">
        <v>395</v>
      </c>
      <c r="I13" s="25">
        <v>0</v>
      </c>
      <c r="J13" s="25">
        <v>0</v>
      </c>
      <c r="K13" s="25">
        <v>1192</v>
      </c>
    </row>
    <row r="14" spans="1:11" x14ac:dyDescent="0.25">
      <c r="G14" s="25" t="s">
        <v>64</v>
      </c>
      <c r="H14" s="25" t="s">
        <v>396</v>
      </c>
      <c r="I14" s="25">
        <v>0</v>
      </c>
      <c r="J14" s="25">
        <v>0</v>
      </c>
      <c r="K14" s="25">
        <v>1192</v>
      </c>
    </row>
    <row r="15" spans="1:11" x14ac:dyDescent="0.25">
      <c r="G15" s="25" t="s">
        <v>64</v>
      </c>
      <c r="H15" s="25" t="s">
        <v>397</v>
      </c>
      <c r="I15" s="25">
        <v>0</v>
      </c>
      <c r="J15" s="25">
        <v>0</v>
      </c>
      <c r="K15" s="25">
        <v>1192</v>
      </c>
    </row>
    <row r="16" spans="1:11" x14ac:dyDescent="0.25">
      <c r="G16" s="25" t="s">
        <v>64</v>
      </c>
      <c r="H16" s="25" t="s">
        <v>398</v>
      </c>
      <c r="I16" s="25">
        <v>0</v>
      </c>
      <c r="J16" s="25">
        <v>0</v>
      </c>
      <c r="K16" s="25">
        <v>1192</v>
      </c>
    </row>
    <row r="17" spans="7:11" x14ac:dyDescent="0.25">
      <c r="G17" s="25" t="s">
        <v>64</v>
      </c>
      <c r="H17" s="25" t="s">
        <v>399</v>
      </c>
      <c r="I17" s="25">
        <v>0</v>
      </c>
      <c r="J17" s="25">
        <v>0</v>
      </c>
      <c r="K17" s="25">
        <v>1192</v>
      </c>
    </row>
    <row r="18" spans="7:11" x14ac:dyDescent="0.25">
      <c r="G18" s="25" t="s">
        <v>64</v>
      </c>
      <c r="H18" s="25" t="s">
        <v>400</v>
      </c>
      <c r="I18" s="25">
        <v>0</v>
      </c>
      <c r="J18" s="25">
        <v>0</v>
      </c>
      <c r="K18" s="25">
        <v>1192</v>
      </c>
    </row>
    <row r="19" spans="7:11" x14ac:dyDescent="0.25">
      <c r="G19" s="25" t="s">
        <v>64</v>
      </c>
      <c r="H19" s="25" t="s">
        <v>401</v>
      </c>
      <c r="I19" s="25">
        <v>0</v>
      </c>
      <c r="J19" s="25">
        <v>0</v>
      </c>
      <c r="K19" s="25">
        <v>1192</v>
      </c>
    </row>
    <row r="20" spans="7:11" x14ac:dyDescent="0.25">
      <c r="G20" s="25" t="s">
        <v>64</v>
      </c>
      <c r="H20" s="25" t="s">
        <v>402</v>
      </c>
      <c r="I20" s="25">
        <v>0</v>
      </c>
      <c r="J20" s="25">
        <v>0</v>
      </c>
      <c r="K20" s="25">
        <v>1192</v>
      </c>
    </row>
    <row r="21" spans="7:11" x14ac:dyDescent="0.25">
      <c r="G21" s="25" t="s">
        <v>64</v>
      </c>
      <c r="H21" s="25" t="s">
        <v>403</v>
      </c>
      <c r="I21" s="25">
        <v>0</v>
      </c>
      <c r="J21" s="25">
        <v>0</v>
      </c>
      <c r="K21" s="25">
        <v>1192</v>
      </c>
    </row>
    <row r="22" spans="7:11" x14ac:dyDescent="0.25">
      <c r="G22" s="25" t="s">
        <v>66</v>
      </c>
      <c r="H22" s="25" t="s">
        <v>84</v>
      </c>
      <c r="I22" s="25">
        <v>429</v>
      </c>
      <c r="J22" s="25">
        <v>36</v>
      </c>
      <c r="K22" s="25">
        <v>763</v>
      </c>
    </row>
    <row r="23" spans="7:11" x14ac:dyDescent="0.25">
      <c r="G23" s="25" t="s">
        <v>66</v>
      </c>
      <c r="H23" s="25" t="s">
        <v>85</v>
      </c>
      <c r="I23" s="25">
        <v>452</v>
      </c>
      <c r="J23" s="25">
        <v>37.9</v>
      </c>
      <c r="K23" s="25">
        <v>740</v>
      </c>
    </row>
    <row r="24" spans="7:11" x14ac:dyDescent="0.25">
      <c r="G24" s="25" t="s">
        <v>66</v>
      </c>
      <c r="H24" s="25" t="s">
        <v>86</v>
      </c>
      <c r="I24" s="25">
        <v>336</v>
      </c>
      <c r="J24" s="25">
        <v>28.2</v>
      </c>
      <c r="K24" s="25">
        <v>856</v>
      </c>
    </row>
    <row r="25" spans="7:11" x14ac:dyDescent="0.25">
      <c r="G25" s="25" t="s">
        <v>66</v>
      </c>
      <c r="H25" s="25" t="s">
        <v>87</v>
      </c>
      <c r="I25" s="25">
        <v>656</v>
      </c>
      <c r="J25" s="25">
        <v>55</v>
      </c>
      <c r="K25" s="25">
        <v>536</v>
      </c>
    </row>
    <row r="26" spans="7:11" x14ac:dyDescent="0.25">
      <c r="G26" s="25" t="s">
        <v>66</v>
      </c>
      <c r="H26" s="25" t="s">
        <v>88</v>
      </c>
      <c r="I26" s="25">
        <v>682</v>
      </c>
      <c r="J26" s="25">
        <v>57.2</v>
      </c>
      <c r="K26" s="25">
        <v>510</v>
      </c>
    </row>
    <row r="27" spans="7:11" x14ac:dyDescent="0.25">
      <c r="G27" s="25" t="s">
        <v>66</v>
      </c>
      <c r="H27" s="25" t="s">
        <v>89</v>
      </c>
      <c r="I27" s="25">
        <v>689</v>
      </c>
      <c r="J27" s="25">
        <v>57.8</v>
      </c>
      <c r="K27" s="25">
        <v>503</v>
      </c>
    </row>
    <row r="28" spans="7:11" x14ac:dyDescent="0.25">
      <c r="G28" s="25" t="s">
        <v>66</v>
      </c>
      <c r="H28" s="25" t="s">
        <v>90</v>
      </c>
      <c r="I28" s="25">
        <v>688</v>
      </c>
      <c r="J28" s="25">
        <v>57.7</v>
      </c>
      <c r="K28" s="25">
        <v>504</v>
      </c>
    </row>
    <row r="29" spans="7:11" x14ac:dyDescent="0.25">
      <c r="G29" s="25" t="s">
        <v>70</v>
      </c>
      <c r="H29" s="25" t="s">
        <v>404</v>
      </c>
      <c r="I29" s="25">
        <v>0</v>
      </c>
      <c r="J29" s="25">
        <v>0</v>
      </c>
      <c r="K29" s="25">
        <v>1192</v>
      </c>
    </row>
    <row r="30" spans="7:11" x14ac:dyDescent="0.25">
      <c r="G30" s="25" t="s">
        <v>70</v>
      </c>
      <c r="H30" s="25" t="s">
        <v>405</v>
      </c>
      <c r="I30" s="25">
        <v>0</v>
      </c>
      <c r="J30" s="25">
        <v>0</v>
      </c>
      <c r="K30" s="25">
        <v>1192</v>
      </c>
    </row>
    <row r="31" spans="7:11" x14ac:dyDescent="0.25">
      <c r="G31" s="25" t="s">
        <v>70</v>
      </c>
      <c r="H31" s="25" t="s">
        <v>406</v>
      </c>
      <c r="I31" s="25">
        <v>0</v>
      </c>
      <c r="J31" s="25">
        <v>0</v>
      </c>
      <c r="K31" s="25">
        <v>1192</v>
      </c>
    </row>
    <row r="32" spans="7:11" x14ac:dyDescent="0.25">
      <c r="G32" s="25" t="s">
        <v>70</v>
      </c>
      <c r="H32" s="25" t="s">
        <v>407</v>
      </c>
      <c r="I32" s="25">
        <v>0</v>
      </c>
      <c r="J32" s="25">
        <v>0</v>
      </c>
      <c r="K32" s="25">
        <v>1192</v>
      </c>
    </row>
    <row r="33" spans="7:11" x14ac:dyDescent="0.25">
      <c r="G33" s="25" t="s">
        <v>70</v>
      </c>
      <c r="H33" s="25" t="s">
        <v>408</v>
      </c>
      <c r="I33" s="25">
        <v>0</v>
      </c>
      <c r="J33" s="25">
        <v>0</v>
      </c>
      <c r="K33" s="25">
        <v>1192</v>
      </c>
    </row>
    <row r="34" spans="7:11" x14ac:dyDescent="0.25">
      <c r="G34" s="25" t="s">
        <v>70</v>
      </c>
      <c r="H34" s="25" t="s">
        <v>409</v>
      </c>
      <c r="I34" s="25">
        <v>0</v>
      </c>
      <c r="J34" s="25">
        <v>0</v>
      </c>
      <c r="K34" s="25">
        <v>1192</v>
      </c>
    </row>
    <row r="35" spans="7:11" x14ac:dyDescent="0.25">
      <c r="G35" s="25" t="s">
        <v>70</v>
      </c>
      <c r="H35" s="25" t="s">
        <v>410</v>
      </c>
      <c r="I35" s="25">
        <v>0</v>
      </c>
      <c r="J35" s="25">
        <v>0</v>
      </c>
      <c r="K35" s="25">
        <v>1192</v>
      </c>
    </row>
    <row r="36" spans="7:11" x14ac:dyDescent="0.25">
      <c r="G36" s="25" t="s">
        <v>71</v>
      </c>
      <c r="H36" s="25" t="s">
        <v>91</v>
      </c>
      <c r="I36" s="25">
        <v>923</v>
      </c>
      <c r="J36" s="25">
        <v>77.400000000000006</v>
      </c>
      <c r="K36" s="25">
        <v>269</v>
      </c>
    </row>
    <row r="37" spans="7:11" x14ac:dyDescent="0.25">
      <c r="G37" s="25" t="s">
        <v>71</v>
      </c>
      <c r="H37" s="25" t="s">
        <v>92</v>
      </c>
      <c r="I37" s="25">
        <v>794</v>
      </c>
      <c r="J37" s="25">
        <v>66.599999999999994</v>
      </c>
      <c r="K37" s="25">
        <v>398</v>
      </c>
    </row>
    <row r="38" spans="7:11" x14ac:dyDescent="0.25">
      <c r="G38" s="25" t="s">
        <v>71</v>
      </c>
      <c r="H38" s="25" t="s">
        <v>93</v>
      </c>
      <c r="I38" s="25">
        <v>653</v>
      </c>
      <c r="J38" s="25">
        <v>54.8</v>
      </c>
      <c r="K38" s="25">
        <v>539</v>
      </c>
    </row>
    <row r="39" spans="7:11" x14ac:dyDescent="0.25">
      <c r="G39" s="25" t="s">
        <v>71</v>
      </c>
      <c r="H39" s="25" t="s">
        <v>94</v>
      </c>
      <c r="I39" s="25">
        <v>653</v>
      </c>
      <c r="J39" s="25">
        <v>54.8</v>
      </c>
      <c r="K39" s="25">
        <v>539</v>
      </c>
    </row>
    <row r="40" spans="7:11" x14ac:dyDescent="0.25">
      <c r="G40" s="25" t="s">
        <v>71</v>
      </c>
      <c r="H40" s="25" t="s">
        <v>95</v>
      </c>
      <c r="I40" s="25">
        <v>794</v>
      </c>
      <c r="J40" s="25">
        <v>66.599999999999994</v>
      </c>
      <c r="K40" s="25">
        <v>398</v>
      </c>
    </row>
    <row r="41" spans="7:11" x14ac:dyDescent="0.25">
      <c r="G41" s="25" t="s">
        <v>71</v>
      </c>
      <c r="H41" s="25" t="s">
        <v>96</v>
      </c>
      <c r="I41" s="25">
        <v>792</v>
      </c>
      <c r="J41" s="25">
        <v>66.400000000000006</v>
      </c>
      <c r="K41" s="25">
        <v>400</v>
      </c>
    </row>
    <row r="42" spans="7:11" x14ac:dyDescent="0.25">
      <c r="G42" s="25" t="s">
        <v>71</v>
      </c>
      <c r="H42" s="25" t="s">
        <v>97</v>
      </c>
      <c r="I42" s="25">
        <v>1160</v>
      </c>
      <c r="J42" s="25">
        <v>97.3</v>
      </c>
      <c r="K42" s="25">
        <v>32</v>
      </c>
    </row>
    <row r="43" spans="7:11" x14ac:dyDescent="0.25">
      <c r="G43" s="25" t="s">
        <v>71</v>
      </c>
      <c r="H43" s="25" t="s">
        <v>98</v>
      </c>
      <c r="I43" s="25">
        <v>655</v>
      </c>
      <c r="J43" s="25">
        <v>54.9</v>
      </c>
      <c r="K43" s="25">
        <v>537</v>
      </c>
    </row>
    <row r="44" spans="7:11" x14ac:dyDescent="0.25">
      <c r="G44" s="25" t="s">
        <v>71</v>
      </c>
      <c r="H44" s="25" t="s">
        <v>135</v>
      </c>
      <c r="I44" s="25">
        <v>792</v>
      </c>
      <c r="J44" s="25">
        <v>66.400000000000006</v>
      </c>
      <c r="K44" s="25">
        <v>400</v>
      </c>
    </row>
    <row r="45" spans="7:11" x14ac:dyDescent="0.25">
      <c r="G45" s="25" t="s">
        <v>75</v>
      </c>
      <c r="H45" s="25" t="s">
        <v>411</v>
      </c>
      <c r="I45" s="25">
        <v>75</v>
      </c>
      <c r="J45" s="25">
        <v>6.3</v>
      </c>
      <c r="K45" s="25">
        <v>1117</v>
      </c>
    </row>
    <row r="46" spans="7:11" x14ac:dyDescent="0.25">
      <c r="G46" s="25" t="s">
        <v>78</v>
      </c>
      <c r="H46" s="25" t="s">
        <v>99</v>
      </c>
      <c r="I46" s="25">
        <v>715</v>
      </c>
      <c r="J46" s="25">
        <v>60</v>
      </c>
      <c r="K46" s="25">
        <v>477</v>
      </c>
    </row>
    <row r="47" spans="7:11" x14ac:dyDescent="0.25">
      <c r="G47" s="25" t="s">
        <v>78</v>
      </c>
      <c r="H47" s="25" t="s">
        <v>100</v>
      </c>
      <c r="I47" s="25">
        <v>512</v>
      </c>
      <c r="J47" s="25">
        <v>43</v>
      </c>
      <c r="K47" s="25">
        <v>680</v>
      </c>
    </row>
    <row r="48" spans="7:11" x14ac:dyDescent="0.25">
      <c r="G48" s="25" t="s">
        <v>78</v>
      </c>
      <c r="H48" s="25" t="s">
        <v>101</v>
      </c>
      <c r="I48" s="25">
        <v>512</v>
      </c>
      <c r="J48" s="25">
        <v>43</v>
      </c>
      <c r="K48" s="25">
        <v>680</v>
      </c>
    </row>
    <row r="49" spans="7:11" x14ac:dyDescent="0.25">
      <c r="G49" s="25" t="s">
        <v>78</v>
      </c>
      <c r="H49" s="25" t="s">
        <v>102</v>
      </c>
      <c r="I49" s="25">
        <v>602</v>
      </c>
      <c r="J49" s="25">
        <v>50.5</v>
      </c>
      <c r="K49" s="25">
        <v>590</v>
      </c>
    </row>
    <row r="50" spans="7:11" x14ac:dyDescent="0.25">
      <c r="G50" s="25" t="s">
        <v>78</v>
      </c>
      <c r="H50" s="25" t="s">
        <v>103</v>
      </c>
      <c r="I50" s="25">
        <v>653</v>
      </c>
      <c r="J50" s="25">
        <v>54.8</v>
      </c>
      <c r="K50" s="25">
        <v>539</v>
      </c>
    </row>
    <row r="51" spans="7:11" x14ac:dyDescent="0.25">
      <c r="G51" s="25" t="s">
        <v>78</v>
      </c>
      <c r="H51" s="25" t="s">
        <v>104</v>
      </c>
      <c r="I51" s="25">
        <v>516</v>
      </c>
      <c r="J51" s="25">
        <v>43.3</v>
      </c>
      <c r="K51" s="25">
        <v>676</v>
      </c>
    </row>
    <row r="52" spans="7:11" x14ac:dyDescent="0.25">
      <c r="G52" s="25" t="s">
        <v>78</v>
      </c>
      <c r="H52" s="25" t="s">
        <v>105</v>
      </c>
      <c r="I52" s="25">
        <v>563</v>
      </c>
      <c r="J52" s="25">
        <v>47.2</v>
      </c>
      <c r="K52" s="25">
        <v>629</v>
      </c>
    </row>
    <row r="53" spans="7:11" x14ac:dyDescent="0.25">
      <c r="G53" s="25" t="s">
        <v>78</v>
      </c>
      <c r="H53" s="25" t="s">
        <v>106</v>
      </c>
      <c r="I53" s="25">
        <v>849</v>
      </c>
      <c r="J53" s="25">
        <v>71.2</v>
      </c>
      <c r="K53" s="25">
        <v>343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498E-D620-4DE0-9354-9F5580EA5391}">
  <dimension ref="A1:M6"/>
  <sheetViews>
    <sheetView workbookViewId="0">
      <selection activeCell="H10" sqref="H10"/>
    </sheetView>
  </sheetViews>
  <sheetFormatPr defaultRowHeight="16.5" x14ac:dyDescent="0.25"/>
  <cols>
    <col min="1" max="1" width="17.875" customWidth="1"/>
    <col min="2" max="5" width="10.625" customWidth="1"/>
    <col min="9" max="13" width="12.625" customWidth="1"/>
  </cols>
  <sheetData>
    <row r="1" spans="1:13" x14ac:dyDescent="0.25">
      <c r="A1" s="41" t="s">
        <v>440</v>
      </c>
      <c r="B1" s="31" t="s">
        <v>441</v>
      </c>
      <c r="C1" s="31" t="s">
        <v>441</v>
      </c>
      <c r="D1" s="31" t="s">
        <v>441</v>
      </c>
      <c r="E1" s="43" t="s">
        <v>445</v>
      </c>
      <c r="I1" s="26" t="s">
        <v>412</v>
      </c>
      <c r="J1" s="26" t="s">
        <v>413</v>
      </c>
      <c r="K1" s="26" t="s">
        <v>414</v>
      </c>
      <c r="L1" s="26" t="s">
        <v>415</v>
      </c>
      <c r="M1" s="26" t="s">
        <v>416</v>
      </c>
    </row>
    <row r="2" spans="1:13" x14ac:dyDescent="0.25">
      <c r="A2" s="42"/>
      <c r="B2" s="29" t="s">
        <v>442</v>
      </c>
      <c r="C2" s="29" t="s">
        <v>443</v>
      </c>
      <c r="D2" s="29" t="s">
        <v>444</v>
      </c>
      <c r="E2" s="44"/>
      <c r="I2" s="27" t="s">
        <v>417</v>
      </c>
      <c r="J2" s="28" t="s">
        <v>418</v>
      </c>
      <c r="K2" s="28" t="s">
        <v>419</v>
      </c>
      <c r="L2" s="28" t="s">
        <v>420</v>
      </c>
      <c r="M2" s="28" t="s">
        <v>421</v>
      </c>
    </row>
    <row r="3" spans="1:13" x14ac:dyDescent="0.25">
      <c r="A3" s="11" t="s">
        <v>66</v>
      </c>
      <c r="B3" s="30">
        <v>5.1999999999999998E-2</v>
      </c>
      <c r="C3" s="30">
        <v>0.123</v>
      </c>
      <c r="D3" s="30">
        <v>0.19</v>
      </c>
      <c r="E3" s="32">
        <v>2.1400000000000001E-9</v>
      </c>
      <c r="I3" s="27" t="s">
        <v>422</v>
      </c>
      <c r="J3" s="28" t="s">
        <v>423</v>
      </c>
      <c r="K3" s="28" t="s">
        <v>23</v>
      </c>
      <c r="L3" s="28" t="s">
        <v>424</v>
      </c>
      <c r="M3" s="28" t="s">
        <v>425</v>
      </c>
    </row>
    <row r="4" spans="1:13" x14ac:dyDescent="0.25">
      <c r="A4" s="11" t="s">
        <v>71</v>
      </c>
      <c r="B4" s="30">
        <v>0.193</v>
      </c>
      <c r="C4" s="30">
        <v>0.71499999999999997</v>
      </c>
      <c r="D4" s="30">
        <v>0.752</v>
      </c>
      <c r="E4" s="32">
        <v>1.4900000000000001E-72</v>
      </c>
      <c r="I4" s="27" t="s">
        <v>426</v>
      </c>
      <c r="J4" s="28" t="s">
        <v>427</v>
      </c>
      <c r="K4" s="28" t="s">
        <v>428</v>
      </c>
      <c r="L4" s="28" t="s">
        <v>429</v>
      </c>
      <c r="M4" s="28" t="s">
        <v>430</v>
      </c>
    </row>
    <row r="5" spans="1:13" x14ac:dyDescent="0.25">
      <c r="A5" s="11" t="s">
        <v>446</v>
      </c>
      <c r="B5" s="30">
        <v>3.5999999999999997E-2</v>
      </c>
      <c r="C5" s="30">
        <v>8.1000000000000003E-2</v>
      </c>
      <c r="D5" s="30">
        <v>7.5999999999999998E-2</v>
      </c>
      <c r="E5" s="33">
        <v>1.66E-2</v>
      </c>
      <c r="I5" s="27" t="s">
        <v>431</v>
      </c>
      <c r="J5" s="28" t="s">
        <v>432</v>
      </c>
      <c r="K5" s="28" t="s">
        <v>433</v>
      </c>
      <c r="L5" s="28" t="s">
        <v>434</v>
      </c>
      <c r="M5" s="28" t="s">
        <v>435</v>
      </c>
    </row>
    <row r="6" spans="1:13" x14ac:dyDescent="0.25">
      <c r="A6" s="34" t="s">
        <v>447</v>
      </c>
      <c r="B6" s="35">
        <v>0.34</v>
      </c>
      <c r="C6" s="35">
        <v>0.39600000000000002</v>
      </c>
      <c r="D6" s="35">
        <v>0.51</v>
      </c>
      <c r="E6" s="36">
        <v>5.0999999999999999E-7</v>
      </c>
      <c r="I6" s="27" t="s">
        <v>436</v>
      </c>
      <c r="J6" s="28" t="s">
        <v>437</v>
      </c>
      <c r="K6" s="28" t="s">
        <v>438</v>
      </c>
      <c r="L6" s="28" t="s">
        <v>439</v>
      </c>
      <c r="M6" s="28" t="s">
        <v>44</v>
      </c>
    </row>
  </sheetData>
  <mergeCells count="2">
    <mergeCell ref="A1:A2"/>
    <mergeCell ref="E1:E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5709-CB85-48A0-955F-C498FA8452E6}">
  <dimension ref="A1:Y28"/>
  <sheetViews>
    <sheetView topLeftCell="E1" workbookViewId="0">
      <selection activeCell="F13" sqref="F13"/>
    </sheetView>
  </sheetViews>
  <sheetFormatPr defaultRowHeight="16.5" x14ac:dyDescent="0.25"/>
  <cols>
    <col min="1" max="12" width="12.625" customWidth="1"/>
  </cols>
  <sheetData>
    <row r="1" spans="1:25" x14ac:dyDescent="0.25">
      <c r="A1" s="23" t="s">
        <v>117</v>
      </c>
      <c r="B1" s="10" t="s">
        <v>118</v>
      </c>
      <c r="C1" s="5" t="s">
        <v>164</v>
      </c>
      <c r="D1" s="5" t="s">
        <v>165</v>
      </c>
      <c r="E1" s="5" t="s">
        <v>540</v>
      </c>
      <c r="F1" s="5" t="s">
        <v>539</v>
      </c>
      <c r="G1" s="5" t="s">
        <v>538</v>
      </c>
      <c r="H1" s="5" t="s">
        <v>111</v>
      </c>
      <c r="I1" s="5" t="s">
        <v>133</v>
      </c>
      <c r="J1" s="5" t="s">
        <v>134</v>
      </c>
      <c r="K1" s="5" t="s">
        <v>124</v>
      </c>
      <c r="L1" s="5" t="s">
        <v>255</v>
      </c>
      <c r="O1" s="8"/>
      <c r="P1" s="8"/>
      <c r="Q1" s="8"/>
      <c r="R1" s="8"/>
      <c r="S1" s="8"/>
      <c r="T1" s="8"/>
      <c r="U1" s="8"/>
      <c r="V1" s="8"/>
      <c r="W1" s="8"/>
      <c r="X1" s="8"/>
    </row>
    <row r="2" spans="1:25" x14ac:dyDescent="0.25">
      <c r="A2" s="45" t="s">
        <v>119</v>
      </c>
      <c r="B2" s="10" t="s">
        <v>186</v>
      </c>
      <c r="C2" s="5" t="s">
        <v>309</v>
      </c>
      <c r="D2" s="5" t="s">
        <v>319</v>
      </c>
      <c r="E2" s="5" t="s">
        <v>280</v>
      </c>
      <c r="F2" s="5" t="s">
        <v>294</v>
      </c>
      <c r="G2" s="5" t="s">
        <v>266</v>
      </c>
      <c r="H2" s="5" t="s">
        <v>338</v>
      </c>
      <c r="I2" s="5" t="s">
        <v>351</v>
      </c>
      <c r="J2" s="5" t="s">
        <v>364</v>
      </c>
      <c r="K2" s="5" t="s">
        <v>226</v>
      </c>
      <c r="L2" s="13" t="s">
        <v>211</v>
      </c>
      <c r="O2" s="8"/>
      <c r="P2" s="8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45"/>
      <c r="B3" s="23" t="s">
        <v>467</v>
      </c>
      <c r="C3" s="14" t="s">
        <v>533</v>
      </c>
      <c r="D3" s="14" t="s">
        <v>479</v>
      </c>
      <c r="E3" s="5" t="s">
        <v>556</v>
      </c>
      <c r="F3" s="5" t="s">
        <v>553</v>
      </c>
      <c r="G3" s="14" t="s">
        <v>515</v>
      </c>
      <c r="H3" s="14" t="s">
        <v>506</v>
      </c>
      <c r="I3" s="14" t="s">
        <v>527</v>
      </c>
      <c r="J3" s="14" t="s">
        <v>535</v>
      </c>
      <c r="K3" s="14" t="s">
        <v>530</v>
      </c>
      <c r="L3" s="15" t="s">
        <v>468</v>
      </c>
      <c r="O3" s="8"/>
      <c r="P3" s="8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45"/>
      <c r="B4" s="23" t="s">
        <v>466</v>
      </c>
      <c r="C4" s="5" t="s">
        <v>534</v>
      </c>
      <c r="D4" s="5" t="s">
        <v>480</v>
      </c>
      <c r="E4" s="5" t="s">
        <v>557</v>
      </c>
      <c r="F4" s="5" t="s">
        <v>554</v>
      </c>
      <c r="G4" s="5" t="s">
        <v>516</v>
      </c>
      <c r="H4" s="5" t="s">
        <v>507</v>
      </c>
      <c r="I4" s="5" t="s">
        <v>528</v>
      </c>
      <c r="J4" s="5" t="s">
        <v>536</v>
      </c>
      <c r="K4" s="5" t="s">
        <v>531</v>
      </c>
      <c r="L4" s="13" t="s">
        <v>469</v>
      </c>
      <c r="O4" s="8"/>
      <c r="P4" s="8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45"/>
      <c r="B5" s="10" t="s">
        <v>189</v>
      </c>
      <c r="C5" s="5" t="s">
        <v>310</v>
      </c>
      <c r="D5" s="5" t="s">
        <v>188</v>
      </c>
      <c r="E5" s="5" t="s">
        <v>281</v>
      </c>
      <c r="F5" s="5" t="s">
        <v>295</v>
      </c>
      <c r="G5" s="5" t="s">
        <v>267</v>
      </c>
      <c r="H5" s="5" t="s">
        <v>339</v>
      </c>
      <c r="I5" s="5" t="s">
        <v>352</v>
      </c>
      <c r="J5" s="5" t="s">
        <v>365</v>
      </c>
      <c r="K5" s="5" t="s">
        <v>227</v>
      </c>
      <c r="L5" s="13" t="s">
        <v>212</v>
      </c>
      <c r="O5" s="8"/>
      <c r="P5" s="8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45"/>
      <c r="B6" s="23" t="s">
        <v>465</v>
      </c>
      <c r="C6" s="5" t="s">
        <v>499</v>
      </c>
      <c r="D6" s="5" t="s">
        <v>481</v>
      </c>
      <c r="E6" s="5" t="s">
        <v>558</v>
      </c>
      <c r="F6" s="5" t="s">
        <v>555</v>
      </c>
      <c r="G6" s="5" t="s">
        <v>517</v>
      </c>
      <c r="H6" s="5" t="s">
        <v>508</v>
      </c>
      <c r="I6" s="5" t="s">
        <v>529</v>
      </c>
      <c r="J6" s="5" t="s">
        <v>537</v>
      </c>
      <c r="K6" s="5" t="s">
        <v>532</v>
      </c>
      <c r="L6" s="13" t="s">
        <v>470</v>
      </c>
      <c r="O6" s="8"/>
      <c r="P6" s="8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45"/>
      <c r="B7" s="23" t="s">
        <v>464</v>
      </c>
      <c r="C7" s="5" t="s">
        <v>309</v>
      </c>
      <c r="D7" s="5" t="s">
        <v>319</v>
      </c>
      <c r="E7" s="5" t="s">
        <v>280</v>
      </c>
      <c r="F7" s="5" t="s">
        <v>294</v>
      </c>
      <c r="G7" s="5" t="s">
        <v>266</v>
      </c>
      <c r="H7" s="5" t="s">
        <v>338</v>
      </c>
      <c r="I7" s="5" t="s">
        <v>351</v>
      </c>
      <c r="J7" s="5" t="s">
        <v>364</v>
      </c>
      <c r="K7" s="5" t="s">
        <v>226</v>
      </c>
      <c r="L7" s="13" t="s">
        <v>211</v>
      </c>
      <c r="O7" s="8"/>
      <c r="P7" s="8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45"/>
      <c r="B8" s="10" t="s">
        <v>190</v>
      </c>
      <c r="C8" s="5" t="s">
        <v>311</v>
      </c>
      <c r="D8" s="5" t="s">
        <v>320</v>
      </c>
      <c r="E8" s="5" t="s">
        <v>282</v>
      </c>
      <c r="F8" s="5" t="s">
        <v>296</v>
      </c>
      <c r="G8" s="5" t="s">
        <v>268</v>
      </c>
      <c r="H8" s="5" t="s">
        <v>340</v>
      </c>
      <c r="I8" s="5" t="s">
        <v>353</v>
      </c>
      <c r="J8" s="5" t="s">
        <v>366</v>
      </c>
      <c r="K8" s="5" t="s">
        <v>228</v>
      </c>
      <c r="L8" s="13" t="s">
        <v>213</v>
      </c>
    </row>
    <row r="9" spans="1:25" x14ac:dyDescent="0.25">
      <c r="A9" s="45"/>
      <c r="B9" s="10" t="s">
        <v>116</v>
      </c>
      <c r="C9" s="5" t="s">
        <v>312</v>
      </c>
      <c r="D9" s="5" t="s">
        <v>321</v>
      </c>
      <c r="E9" s="5" t="s">
        <v>283</v>
      </c>
      <c r="F9" s="5" t="s">
        <v>297</v>
      </c>
      <c r="G9" s="5" t="s">
        <v>269</v>
      </c>
      <c r="H9" s="5" t="s">
        <v>191</v>
      </c>
      <c r="I9" s="5" t="s">
        <v>192</v>
      </c>
      <c r="J9" s="5" t="s">
        <v>367</v>
      </c>
      <c r="K9" s="5" t="s">
        <v>229</v>
      </c>
      <c r="L9" s="13" t="s">
        <v>214</v>
      </c>
    </row>
    <row r="10" spans="1:25" x14ac:dyDescent="0.25">
      <c r="A10" s="45"/>
      <c r="B10" s="10" t="s">
        <v>187</v>
      </c>
      <c r="C10" s="5" t="s">
        <v>313</v>
      </c>
      <c r="D10" s="5" t="s">
        <v>322</v>
      </c>
      <c r="E10" s="5" t="s">
        <v>284</v>
      </c>
      <c r="F10" s="5" t="s">
        <v>298</v>
      </c>
      <c r="G10" s="5" t="s">
        <v>270</v>
      </c>
      <c r="H10" s="5" t="s">
        <v>341</v>
      </c>
      <c r="I10" s="5" t="s">
        <v>354</v>
      </c>
      <c r="J10" s="5" t="s">
        <v>368</v>
      </c>
      <c r="K10" s="5" t="s">
        <v>230</v>
      </c>
      <c r="L10" s="13" t="s">
        <v>215</v>
      </c>
    </row>
    <row r="11" spans="1:25" x14ac:dyDescent="0.25">
      <c r="A11" s="45" t="s">
        <v>120</v>
      </c>
      <c r="B11" s="10" t="s">
        <v>186</v>
      </c>
      <c r="C11" s="5" t="s">
        <v>304</v>
      </c>
      <c r="D11" s="13" t="s">
        <v>323</v>
      </c>
      <c r="E11" s="5" t="s">
        <v>276</v>
      </c>
      <c r="F11" s="5" t="s">
        <v>289</v>
      </c>
      <c r="G11" s="5" t="s">
        <v>261</v>
      </c>
      <c r="H11" s="5" t="s">
        <v>333</v>
      </c>
      <c r="I11" s="5" t="s">
        <v>346</v>
      </c>
      <c r="J11" s="5" t="s">
        <v>359</v>
      </c>
      <c r="K11" s="5" t="s">
        <v>231</v>
      </c>
      <c r="L11" s="5" t="s">
        <v>216</v>
      </c>
    </row>
    <row r="12" spans="1:25" x14ac:dyDescent="0.25">
      <c r="A12" s="45"/>
      <c r="B12" s="23" t="s">
        <v>467</v>
      </c>
      <c r="C12" s="14" t="s">
        <v>512</v>
      </c>
      <c r="D12" s="15" t="s">
        <v>482</v>
      </c>
      <c r="E12" s="5" t="s">
        <v>550</v>
      </c>
      <c r="F12" s="5" t="s">
        <v>544</v>
      </c>
      <c r="G12" s="14" t="s">
        <v>497</v>
      </c>
      <c r="H12" s="14" t="s">
        <v>494</v>
      </c>
      <c r="I12" s="14" t="s">
        <v>509</v>
      </c>
      <c r="J12" s="14" t="s">
        <v>518</v>
      </c>
      <c r="K12" s="14" t="s">
        <v>521</v>
      </c>
      <c r="L12" s="14" t="s">
        <v>500</v>
      </c>
    </row>
    <row r="13" spans="1:25" x14ac:dyDescent="0.25">
      <c r="A13" s="45"/>
      <c r="B13" s="23" t="s">
        <v>466</v>
      </c>
      <c r="C13" s="5" t="s">
        <v>513</v>
      </c>
      <c r="D13" s="5" t="s">
        <v>483</v>
      </c>
      <c r="E13" s="5" t="s">
        <v>551</v>
      </c>
      <c r="F13" s="5" t="s">
        <v>545</v>
      </c>
      <c r="G13" s="5" t="s">
        <v>498</v>
      </c>
      <c r="H13" s="13" t="s">
        <v>495</v>
      </c>
      <c r="I13" s="5" t="s">
        <v>510</v>
      </c>
      <c r="J13" s="5" t="s">
        <v>519</v>
      </c>
      <c r="K13" s="5" t="s">
        <v>522</v>
      </c>
      <c r="L13" s="5" t="s">
        <v>501</v>
      </c>
    </row>
    <row r="14" spans="1:25" x14ac:dyDescent="0.25">
      <c r="A14" s="45"/>
      <c r="B14" s="10" t="s">
        <v>189</v>
      </c>
      <c r="C14" s="5" t="s">
        <v>305</v>
      </c>
      <c r="D14" s="5" t="s">
        <v>324</v>
      </c>
      <c r="E14" s="5" t="s">
        <v>277</v>
      </c>
      <c r="F14" s="5" t="s">
        <v>290</v>
      </c>
      <c r="G14" s="5" t="s">
        <v>262</v>
      </c>
      <c r="H14" s="13" t="s">
        <v>334</v>
      </c>
      <c r="I14" s="5" t="s">
        <v>347</v>
      </c>
      <c r="J14" s="5" t="s">
        <v>360</v>
      </c>
      <c r="K14" s="5" t="s">
        <v>232</v>
      </c>
      <c r="L14" s="5" t="s">
        <v>217</v>
      </c>
    </row>
    <row r="15" spans="1:25" x14ac:dyDescent="0.25">
      <c r="A15" s="45"/>
      <c r="B15" s="23" t="s">
        <v>465</v>
      </c>
      <c r="C15" s="5" t="s">
        <v>514</v>
      </c>
      <c r="D15" s="13" t="s">
        <v>484</v>
      </c>
      <c r="E15" s="5" t="s">
        <v>552</v>
      </c>
      <c r="F15" s="5" t="s">
        <v>546</v>
      </c>
      <c r="G15" s="5" t="s">
        <v>499</v>
      </c>
      <c r="H15" s="5" t="s">
        <v>496</v>
      </c>
      <c r="I15" s="5" t="s">
        <v>511</v>
      </c>
      <c r="J15" s="5" t="s">
        <v>520</v>
      </c>
      <c r="K15" s="5" t="s">
        <v>523</v>
      </c>
      <c r="L15" s="5" t="s">
        <v>502</v>
      </c>
    </row>
    <row r="16" spans="1:25" x14ac:dyDescent="0.25">
      <c r="A16" s="45"/>
      <c r="B16" s="23" t="s">
        <v>464</v>
      </c>
      <c r="C16" s="5" t="s">
        <v>304</v>
      </c>
      <c r="D16" s="13" t="s">
        <v>323</v>
      </c>
      <c r="E16" s="5" t="s">
        <v>276</v>
      </c>
      <c r="F16" s="5" t="s">
        <v>289</v>
      </c>
      <c r="G16" s="5" t="s">
        <v>261</v>
      </c>
      <c r="H16" s="5" t="s">
        <v>333</v>
      </c>
      <c r="I16" s="5" t="s">
        <v>346</v>
      </c>
      <c r="J16" s="5" t="s">
        <v>359</v>
      </c>
      <c r="K16" s="5" t="s">
        <v>231</v>
      </c>
      <c r="L16" s="5" t="s">
        <v>216</v>
      </c>
    </row>
    <row r="17" spans="1:12" x14ac:dyDescent="0.25">
      <c r="A17" s="45"/>
      <c r="B17" s="10" t="s">
        <v>190</v>
      </c>
      <c r="C17" s="5" t="s">
        <v>306</v>
      </c>
      <c r="D17" s="5" t="s">
        <v>325</v>
      </c>
      <c r="E17" s="5" t="s">
        <v>201</v>
      </c>
      <c r="F17" s="5" t="s">
        <v>291</v>
      </c>
      <c r="G17" s="5" t="s">
        <v>263</v>
      </c>
      <c r="H17" s="13" t="s">
        <v>335</v>
      </c>
      <c r="I17" s="5" t="s">
        <v>348</v>
      </c>
      <c r="J17" s="5" t="s">
        <v>361</v>
      </c>
      <c r="K17" s="5" t="s">
        <v>233</v>
      </c>
      <c r="L17" s="5" t="s">
        <v>218</v>
      </c>
    </row>
    <row r="18" spans="1:12" x14ac:dyDescent="0.25">
      <c r="A18" s="45"/>
      <c r="B18" s="10" t="s">
        <v>116</v>
      </c>
      <c r="C18" s="5" t="s">
        <v>307</v>
      </c>
      <c r="D18" s="13" t="s">
        <v>326</v>
      </c>
      <c r="E18" s="5" t="s">
        <v>278</v>
      </c>
      <c r="F18" s="5" t="s">
        <v>292</v>
      </c>
      <c r="G18" s="5" t="s">
        <v>264</v>
      </c>
      <c r="H18" s="5" t="s">
        <v>336</v>
      </c>
      <c r="I18" s="5" t="s">
        <v>349</v>
      </c>
      <c r="J18" s="5" t="s">
        <v>362</v>
      </c>
      <c r="K18" s="5" t="s">
        <v>234</v>
      </c>
      <c r="L18" s="5" t="s">
        <v>219</v>
      </c>
    </row>
    <row r="19" spans="1:12" x14ac:dyDescent="0.25">
      <c r="A19" s="45"/>
      <c r="B19" s="10" t="s">
        <v>187</v>
      </c>
      <c r="C19" s="5" t="s">
        <v>308</v>
      </c>
      <c r="D19" s="5" t="s">
        <v>327</v>
      </c>
      <c r="E19" s="5" t="s">
        <v>279</v>
      </c>
      <c r="F19" s="5" t="s">
        <v>293</v>
      </c>
      <c r="G19" s="5" t="s">
        <v>265</v>
      </c>
      <c r="H19" s="13" t="s">
        <v>337</v>
      </c>
      <c r="I19" s="5" t="s">
        <v>350</v>
      </c>
      <c r="J19" s="5" t="s">
        <v>363</v>
      </c>
      <c r="K19" s="5" t="s">
        <v>235</v>
      </c>
      <c r="L19" s="5" t="s">
        <v>220</v>
      </c>
    </row>
    <row r="20" spans="1:12" x14ac:dyDescent="0.25">
      <c r="A20" s="45" t="s">
        <v>121</v>
      </c>
      <c r="B20" s="10" t="s">
        <v>186</v>
      </c>
      <c r="C20" s="5" t="s">
        <v>299</v>
      </c>
      <c r="D20" s="5" t="s">
        <v>314</v>
      </c>
      <c r="E20" s="5" t="s">
        <v>271</v>
      </c>
      <c r="F20" s="5" t="s">
        <v>285</v>
      </c>
      <c r="G20" s="5" t="s">
        <v>256</v>
      </c>
      <c r="H20" s="5" t="s">
        <v>328</v>
      </c>
      <c r="I20" s="5" t="s">
        <v>342</v>
      </c>
      <c r="J20" s="5" t="s">
        <v>355</v>
      </c>
      <c r="K20" s="5" t="s">
        <v>236</v>
      </c>
      <c r="L20" s="13" t="s">
        <v>221</v>
      </c>
    </row>
    <row r="21" spans="1:12" x14ac:dyDescent="0.25">
      <c r="A21" s="45"/>
      <c r="B21" s="23" t="s">
        <v>467</v>
      </c>
      <c r="C21" s="14" t="s">
        <v>503</v>
      </c>
      <c r="D21" s="14" t="s">
        <v>471</v>
      </c>
      <c r="E21" s="5" t="s">
        <v>547</v>
      </c>
      <c r="F21" s="5" t="s">
        <v>541</v>
      </c>
      <c r="G21" s="14" t="s">
        <v>485</v>
      </c>
      <c r="H21" s="14" t="s">
        <v>474</v>
      </c>
      <c r="I21" s="14" t="s">
        <v>488</v>
      </c>
      <c r="J21" s="14" t="s">
        <v>491</v>
      </c>
      <c r="K21" s="14" t="s">
        <v>524</v>
      </c>
      <c r="L21" s="15" t="s">
        <v>477</v>
      </c>
    </row>
    <row r="22" spans="1:12" x14ac:dyDescent="0.25">
      <c r="A22" s="45"/>
      <c r="B22" s="23" t="s">
        <v>466</v>
      </c>
      <c r="C22" s="5" t="s">
        <v>504</v>
      </c>
      <c r="D22" s="13" t="s">
        <v>472</v>
      </c>
      <c r="E22" s="5" t="s">
        <v>548</v>
      </c>
      <c r="F22" s="5" t="s">
        <v>542</v>
      </c>
      <c r="G22" s="5" t="s">
        <v>486</v>
      </c>
      <c r="H22" s="5" t="s">
        <v>475</v>
      </c>
      <c r="I22" s="5" t="s">
        <v>489</v>
      </c>
      <c r="J22" s="5" t="s">
        <v>492</v>
      </c>
      <c r="K22" s="5" t="s">
        <v>525</v>
      </c>
      <c r="L22" s="13" t="s">
        <v>472</v>
      </c>
    </row>
    <row r="23" spans="1:12" x14ac:dyDescent="0.25">
      <c r="A23" s="45"/>
      <c r="B23" s="10" t="s">
        <v>189</v>
      </c>
      <c r="C23" s="5" t="s">
        <v>300</v>
      </c>
      <c r="D23" s="13" t="s">
        <v>315</v>
      </c>
      <c r="E23" s="5" t="s">
        <v>272</v>
      </c>
      <c r="F23" s="5" t="s">
        <v>286</v>
      </c>
      <c r="G23" s="5" t="s">
        <v>257</v>
      </c>
      <c r="H23" s="5" t="s">
        <v>329</v>
      </c>
      <c r="I23" s="5" t="s">
        <v>343</v>
      </c>
      <c r="J23" s="5" t="s">
        <v>356</v>
      </c>
      <c r="K23" s="5" t="s">
        <v>237</v>
      </c>
      <c r="L23" s="5" t="s">
        <v>222</v>
      </c>
    </row>
    <row r="24" spans="1:12" x14ac:dyDescent="0.25">
      <c r="A24" s="45"/>
      <c r="B24" s="23" t="s">
        <v>465</v>
      </c>
      <c r="C24" s="5" t="s">
        <v>505</v>
      </c>
      <c r="D24" s="5" t="s">
        <v>473</v>
      </c>
      <c r="E24" s="5" t="s">
        <v>549</v>
      </c>
      <c r="F24" s="5" t="s">
        <v>543</v>
      </c>
      <c r="G24" s="5" t="s">
        <v>487</v>
      </c>
      <c r="H24" s="5" t="s">
        <v>476</v>
      </c>
      <c r="I24" s="5" t="s">
        <v>490</v>
      </c>
      <c r="J24" s="5" t="s">
        <v>493</v>
      </c>
      <c r="K24" s="5" t="s">
        <v>526</v>
      </c>
      <c r="L24" s="13" t="s">
        <v>478</v>
      </c>
    </row>
    <row r="25" spans="1:12" x14ac:dyDescent="0.25">
      <c r="A25" s="45"/>
      <c r="B25" s="23" t="s">
        <v>464</v>
      </c>
      <c r="C25" s="5" t="s">
        <v>299</v>
      </c>
      <c r="D25" s="5" t="s">
        <v>314</v>
      </c>
      <c r="E25" s="5" t="s">
        <v>271</v>
      </c>
      <c r="F25" s="5" t="s">
        <v>285</v>
      </c>
      <c r="G25" s="5" t="s">
        <v>256</v>
      </c>
      <c r="H25" s="5" t="s">
        <v>328</v>
      </c>
      <c r="I25" s="5" t="s">
        <v>342</v>
      </c>
      <c r="J25" s="5" t="s">
        <v>355</v>
      </c>
      <c r="K25" s="5" t="s">
        <v>236</v>
      </c>
      <c r="L25" s="13" t="s">
        <v>221</v>
      </c>
    </row>
    <row r="26" spans="1:12" x14ac:dyDescent="0.25">
      <c r="A26" s="45"/>
      <c r="B26" s="10" t="s">
        <v>190</v>
      </c>
      <c r="C26" s="5" t="s">
        <v>301</v>
      </c>
      <c r="D26" s="5" t="s">
        <v>316</v>
      </c>
      <c r="E26" s="5" t="s">
        <v>273</v>
      </c>
      <c r="F26" s="5" t="s">
        <v>200</v>
      </c>
      <c r="G26" s="5" t="s">
        <v>258</v>
      </c>
      <c r="H26" s="5" t="s">
        <v>330</v>
      </c>
      <c r="I26" s="5" t="s">
        <v>344</v>
      </c>
      <c r="J26" s="5" t="s">
        <v>357</v>
      </c>
      <c r="K26" s="5" t="s">
        <v>238</v>
      </c>
      <c r="L26" s="13" t="s">
        <v>223</v>
      </c>
    </row>
    <row r="27" spans="1:12" x14ac:dyDescent="0.25">
      <c r="A27" s="45"/>
      <c r="B27" s="10" t="s">
        <v>116</v>
      </c>
      <c r="C27" s="5" t="s">
        <v>302</v>
      </c>
      <c r="D27" s="5" t="s">
        <v>317</v>
      </c>
      <c r="E27" s="5" t="s">
        <v>274</v>
      </c>
      <c r="F27" s="5" t="s">
        <v>287</v>
      </c>
      <c r="G27" s="5" t="s">
        <v>259</v>
      </c>
      <c r="H27" s="13" t="s">
        <v>331</v>
      </c>
      <c r="I27" s="5" t="s">
        <v>345</v>
      </c>
      <c r="J27" s="5" t="s">
        <v>358</v>
      </c>
      <c r="K27" s="5" t="s">
        <v>239</v>
      </c>
      <c r="L27" s="5" t="s">
        <v>224</v>
      </c>
    </row>
    <row r="28" spans="1:12" x14ac:dyDescent="0.25">
      <c r="A28" s="45"/>
      <c r="B28" s="10" t="s">
        <v>187</v>
      </c>
      <c r="C28" s="5" t="s">
        <v>303</v>
      </c>
      <c r="D28" s="5" t="s">
        <v>318</v>
      </c>
      <c r="E28" s="5" t="s">
        <v>275</v>
      </c>
      <c r="F28" s="5" t="s">
        <v>288</v>
      </c>
      <c r="G28" s="5" t="s">
        <v>260</v>
      </c>
      <c r="H28" s="13" t="s">
        <v>332</v>
      </c>
      <c r="I28" s="5" t="s">
        <v>198</v>
      </c>
      <c r="J28" s="5" t="s">
        <v>193</v>
      </c>
      <c r="K28" s="5" t="s">
        <v>240</v>
      </c>
      <c r="L28" s="5" t="s">
        <v>225</v>
      </c>
    </row>
  </sheetData>
  <sortState xmlns:xlrd2="http://schemas.microsoft.com/office/spreadsheetml/2017/richdata2" ref="O9:Y15">
    <sortCondition ref="P13:P15"/>
  </sortState>
  <mergeCells count="3">
    <mergeCell ref="A2:A10"/>
    <mergeCell ref="A11:A19"/>
    <mergeCell ref="A20:A2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AD5A-8826-43F5-B416-DEA2597476AB}">
  <dimension ref="A1:AM56"/>
  <sheetViews>
    <sheetView workbookViewId="0">
      <selection activeCell="I1" sqref="I1"/>
    </sheetView>
  </sheetViews>
  <sheetFormatPr defaultRowHeight="16.5" x14ac:dyDescent="0.25"/>
  <sheetData>
    <row r="1" spans="1:39" x14ac:dyDescent="0.25">
      <c r="A1" s="8" t="s">
        <v>168</v>
      </c>
      <c r="B1" s="8" t="s">
        <v>169</v>
      </c>
      <c r="C1" s="8" t="s">
        <v>139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448</v>
      </c>
      <c r="I1" s="8" t="s">
        <v>449</v>
      </c>
      <c r="J1" s="8" t="s">
        <v>450</v>
      </c>
      <c r="K1" s="8" t="s">
        <v>451</v>
      </c>
      <c r="L1" s="8" t="s">
        <v>452</v>
      </c>
      <c r="M1" s="8" t="s">
        <v>453</v>
      </c>
      <c r="N1" s="8" t="s">
        <v>454</v>
      </c>
      <c r="O1" s="8" t="s">
        <v>455</v>
      </c>
      <c r="P1" s="8" t="s">
        <v>170</v>
      </c>
      <c r="Q1" s="8" t="s">
        <v>171</v>
      </c>
      <c r="R1" s="8" t="s">
        <v>172</v>
      </c>
      <c r="S1" s="8" t="s">
        <v>173</v>
      </c>
      <c r="T1" s="8" t="s">
        <v>456</v>
      </c>
      <c r="U1" s="8" t="s">
        <v>457</v>
      </c>
      <c r="V1" s="8" t="s">
        <v>458</v>
      </c>
      <c r="W1" s="8" t="s">
        <v>459</v>
      </c>
      <c r="X1" s="8" t="s">
        <v>460</v>
      </c>
      <c r="Y1" s="8" t="s">
        <v>461</v>
      </c>
      <c r="Z1" s="8" t="s">
        <v>462</v>
      </c>
      <c r="AA1" s="8" t="s">
        <v>463</v>
      </c>
      <c r="AB1" s="8" t="s">
        <v>174</v>
      </c>
      <c r="AC1" s="8" t="s">
        <v>175</v>
      </c>
      <c r="AD1" s="8" t="s">
        <v>176</v>
      </c>
      <c r="AE1" s="8" t="s">
        <v>177</v>
      </c>
      <c r="AF1" s="8" t="s">
        <v>159</v>
      </c>
      <c r="AG1" s="8" t="s">
        <v>160</v>
      </c>
      <c r="AH1" s="8" t="s">
        <v>161</v>
      </c>
      <c r="AI1" s="8" t="s">
        <v>162</v>
      </c>
      <c r="AJ1" s="8" t="s">
        <v>178</v>
      </c>
      <c r="AK1" s="8" t="s">
        <v>179</v>
      </c>
      <c r="AL1" s="8" t="s">
        <v>180</v>
      </c>
      <c r="AM1" s="8" t="s">
        <v>181</v>
      </c>
    </row>
    <row r="2" spans="1:39" x14ac:dyDescent="0.25">
      <c r="A2" s="8" t="s">
        <v>185</v>
      </c>
      <c r="B2" s="8" t="s">
        <v>183</v>
      </c>
      <c r="C2" s="8">
        <v>5</v>
      </c>
      <c r="D2" s="8">
        <v>0.71209999999999996</v>
      </c>
      <c r="E2" s="8">
        <v>0.68220000000000003</v>
      </c>
      <c r="F2" s="8">
        <v>0.74199999999999999</v>
      </c>
      <c r="G2" s="8">
        <v>2.1499999999999998E-2</v>
      </c>
      <c r="H2" s="8">
        <v>0.66590000000000005</v>
      </c>
      <c r="I2" s="8">
        <v>0.63670000000000004</v>
      </c>
      <c r="J2" s="8">
        <v>0.69499999999999995</v>
      </c>
      <c r="K2" s="8">
        <v>2.1000000000000001E-2</v>
      </c>
      <c r="L2" s="8">
        <v>0.66279999999999994</v>
      </c>
      <c r="M2" s="8">
        <v>0.63190000000000002</v>
      </c>
      <c r="N2" s="8">
        <v>0.69379999999999997</v>
      </c>
      <c r="O2" s="8">
        <v>2.23E-2</v>
      </c>
      <c r="P2" s="8">
        <v>0.66339999999999999</v>
      </c>
      <c r="Q2" s="8">
        <v>0.63290000000000002</v>
      </c>
      <c r="R2" s="8">
        <v>0.69379999999999997</v>
      </c>
      <c r="S2" s="8">
        <v>2.1899999999999999E-2</v>
      </c>
      <c r="T2" s="8">
        <v>0.71550000000000002</v>
      </c>
      <c r="U2" s="8">
        <v>0.68540000000000001</v>
      </c>
      <c r="V2" s="8">
        <v>0.74560000000000004</v>
      </c>
      <c r="W2" s="8">
        <v>2.1700000000000001E-2</v>
      </c>
      <c r="X2" s="8">
        <v>0.71209999999999996</v>
      </c>
      <c r="Y2" s="8">
        <v>0.68220000000000003</v>
      </c>
      <c r="Z2" s="8">
        <v>0.74199999999999999</v>
      </c>
      <c r="AA2" s="8">
        <v>2.1499999999999998E-2</v>
      </c>
      <c r="AB2" s="8">
        <v>0.71299999999999997</v>
      </c>
      <c r="AC2" s="8">
        <v>0.68369999999999997</v>
      </c>
      <c r="AD2" s="8">
        <v>0.74239999999999995</v>
      </c>
      <c r="AE2" s="8">
        <v>2.12E-2</v>
      </c>
      <c r="AF2" s="8">
        <v>0.84119999999999995</v>
      </c>
      <c r="AG2" s="8">
        <v>0.81979999999999997</v>
      </c>
      <c r="AH2" s="8">
        <v>0.86270000000000002</v>
      </c>
      <c r="AI2" s="8">
        <v>1.54E-2</v>
      </c>
      <c r="AJ2" s="8">
        <v>0.7046</v>
      </c>
      <c r="AK2" s="8">
        <v>0.67210000000000003</v>
      </c>
      <c r="AL2" s="8">
        <v>0.73709999999999998</v>
      </c>
      <c r="AM2" s="8">
        <v>2.3400000000000001E-2</v>
      </c>
    </row>
    <row r="3" spans="1:39" x14ac:dyDescent="0.25">
      <c r="A3" s="8" t="s">
        <v>165</v>
      </c>
      <c r="B3" s="8" t="s">
        <v>182</v>
      </c>
      <c r="C3" s="8">
        <v>5</v>
      </c>
      <c r="D3" s="8">
        <v>0.71050000000000002</v>
      </c>
      <c r="E3" s="8">
        <v>0.67900000000000005</v>
      </c>
      <c r="F3" s="8">
        <v>0.74199999999999999</v>
      </c>
      <c r="G3" s="8">
        <v>2.2700000000000001E-2</v>
      </c>
      <c r="H3" s="8">
        <v>0.64900000000000002</v>
      </c>
      <c r="I3" s="8">
        <v>0.61980000000000002</v>
      </c>
      <c r="J3" s="8">
        <v>0.67830000000000001</v>
      </c>
      <c r="K3" s="8">
        <v>2.1000000000000001E-2</v>
      </c>
      <c r="L3" s="8">
        <v>0.62580000000000002</v>
      </c>
      <c r="M3" s="8">
        <v>0.60160000000000002</v>
      </c>
      <c r="N3" s="8">
        <v>0.65</v>
      </c>
      <c r="O3" s="8">
        <v>1.7399999999999999E-2</v>
      </c>
      <c r="P3" s="8">
        <v>0.6149</v>
      </c>
      <c r="Q3" s="8">
        <v>0.58509999999999995</v>
      </c>
      <c r="R3" s="8">
        <v>0.64470000000000005</v>
      </c>
      <c r="S3" s="8">
        <v>2.1499999999999998E-2</v>
      </c>
      <c r="T3" s="8">
        <v>0.68959999999999999</v>
      </c>
      <c r="U3" s="8">
        <v>0.66669999999999996</v>
      </c>
      <c r="V3" s="8">
        <v>0.71250000000000002</v>
      </c>
      <c r="W3" s="8">
        <v>1.6500000000000001E-2</v>
      </c>
      <c r="X3" s="8">
        <v>0.71050000000000002</v>
      </c>
      <c r="Y3" s="8">
        <v>0.67900000000000005</v>
      </c>
      <c r="Z3" s="8">
        <v>0.74199999999999999</v>
      </c>
      <c r="AA3" s="8">
        <v>2.2700000000000001E-2</v>
      </c>
      <c r="AB3" s="8">
        <v>0.68310000000000004</v>
      </c>
      <c r="AC3" s="8">
        <v>0.65539999999999998</v>
      </c>
      <c r="AD3" s="8">
        <v>0.7107</v>
      </c>
      <c r="AE3" s="8">
        <v>1.9900000000000001E-2</v>
      </c>
      <c r="AF3" s="8">
        <v>0.82869999999999999</v>
      </c>
      <c r="AG3" s="8">
        <v>0.8</v>
      </c>
      <c r="AH3" s="8">
        <v>0.85740000000000005</v>
      </c>
      <c r="AI3" s="8">
        <v>2.07E-2</v>
      </c>
      <c r="AJ3" s="8">
        <v>0.6885</v>
      </c>
      <c r="AK3" s="8">
        <v>0.65720000000000001</v>
      </c>
      <c r="AL3" s="8">
        <v>0.7198</v>
      </c>
      <c r="AM3" s="8">
        <v>2.2499999999999999E-2</v>
      </c>
    </row>
    <row r="4" spans="1:39" x14ac:dyDescent="0.25">
      <c r="A4" s="8" t="s">
        <v>132</v>
      </c>
      <c r="B4" s="8" t="s">
        <v>182</v>
      </c>
      <c r="C4" s="8">
        <v>5</v>
      </c>
      <c r="D4" s="8">
        <v>0.72050000000000003</v>
      </c>
      <c r="E4" s="8">
        <v>0.69240000000000002</v>
      </c>
      <c r="F4" s="8">
        <v>0.74860000000000004</v>
      </c>
      <c r="G4" s="8">
        <v>2.0199999999999999E-2</v>
      </c>
      <c r="H4" s="8">
        <v>0.63719999999999999</v>
      </c>
      <c r="I4" s="8">
        <v>0.58279999999999998</v>
      </c>
      <c r="J4" s="8">
        <v>0.69169999999999998</v>
      </c>
      <c r="K4" s="8">
        <v>3.9199999999999999E-2</v>
      </c>
      <c r="L4" s="8">
        <v>0.61909999999999998</v>
      </c>
      <c r="M4" s="8">
        <v>0.5867</v>
      </c>
      <c r="N4" s="8">
        <v>0.65149999999999997</v>
      </c>
      <c r="O4" s="8">
        <v>2.3300000000000001E-2</v>
      </c>
      <c r="P4" s="8">
        <v>0.60599999999999998</v>
      </c>
      <c r="Q4" s="8">
        <v>0.56779999999999997</v>
      </c>
      <c r="R4" s="8">
        <v>0.64419999999999999</v>
      </c>
      <c r="S4" s="8">
        <v>2.75E-2</v>
      </c>
      <c r="T4" s="8">
        <v>0.68310000000000004</v>
      </c>
      <c r="U4" s="8">
        <v>0.64290000000000003</v>
      </c>
      <c r="V4" s="8">
        <v>0.72319999999999995</v>
      </c>
      <c r="W4" s="8">
        <v>2.8899999999999999E-2</v>
      </c>
      <c r="X4" s="8">
        <v>0.72050000000000003</v>
      </c>
      <c r="Y4" s="8">
        <v>0.69240000000000002</v>
      </c>
      <c r="Z4" s="8">
        <v>0.74860000000000004</v>
      </c>
      <c r="AA4" s="8">
        <v>2.0199999999999999E-2</v>
      </c>
      <c r="AB4" s="8">
        <v>0.6855</v>
      </c>
      <c r="AC4" s="8">
        <v>0.65410000000000001</v>
      </c>
      <c r="AD4" s="8">
        <v>0.71689999999999998</v>
      </c>
      <c r="AE4" s="8">
        <v>2.2599999999999999E-2</v>
      </c>
      <c r="AF4" s="8">
        <v>0.8286</v>
      </c>
      <c r="AG4" s="8">
        <v>0.79149999999999998</v>
      </c>
      <c r="AH4" s="8">
        <v>0.86580000000000001</v>
      </c>
      <c r="AI4" s="8">
        <v>2.6800000000000001E-2</v>
      </c>
      <c r="AJ4" s="8">
        <v>0.69540000000000002</v>
      </c>
      <c r="AK4" s="8">
        <v>0.6522</v>
      </c>
      <c r="AL4" s="8">
        <v>0.73860000000000003</v>
      </c>
      <c r="AM4" s="8">
        <v>3.1099999999999999E-2</v>
      </c>
    </row>
    <row r="5" spans="1:39" x14ac:dyDescent="0.25">
      <c r="A5" s="8" t="s">
        <v>185</v>
      </c>
      <c r="B5" s="8" t="s">
        <v>182</v>
      </c>
      <c r="C5" s="8">
        <v>5</v>
      </c>
      <c r="D5" s="8">
        <v>0.72889999999999999</v>
      </c>
      <c r="E5" s="8">
        <v>0.70640000000000003</v>
      </c>
      <c r="F5" s="8">
        <v>0.75129999999999997</v>
      </c>
      <c r="G5" s="8">
        <v>1.6199999999999999E-2</v>
      </c>
      <c r="H5" s="8">
        <v>0.66379999999999995</v>
      </c>
      <c r="I5" s="8">
        <v>0.5877</v>
      </c>
      <c r="J5" s="8">
        <v>0.73980000000000001</v>
      </c>
      <c r="K5" s="8">
        <v>5.4800000000000001E-2</v>
      </c>
      <c r="L5" s="8">
        <v>0.626</v>
      </c>
      <c r="M5" s="8">
        <v>0.60160000000000002</v>
      </c>
      <c r="N5" s="8">
        <v>0.65039999999999998</v>
      </c>
      <c r="O5" s="8">
        <v>1.7600000000000001E-2</v>
      </c>
      <c r="P5" s="8">
        <v>0.61099999999999999</v>
      </c>
      <c r="Q5" s="8">
        <v>0.57240000000000002</v>
      </c>
      <c r="R5" s="8">
        <v>0.64959999999999996</v>
      </c>
      <c r="S5" s="8">
        <v>2.7799999999999998E-2</v>
      </c>
      <c r="T5" s="8">
        <v>0.69910000000000005</v>
      </c>
      <c r="U5" s="8">
        <v>0.6482</v>
      </c>
      <c r="V5" s="8">
        <v>0.75</v>
      </c>
      <c r="W5" s="8">
        <v>3.6700000000000003E-2</v>
      </c>
      <c r="X5" s="8">
        <v>0.72889999999999999</v>
      </c>
      <c r="Y5" s="8">
        <v>0.70640000000000003</v>
      </c>
      <c r="Z5" s="8">
        <v>0.75129999999999997</v>
      </c>
      <c r="AA5" s="8">
        <v>1.6199999999999999E-2</v>
      </c>
      <c r="AB5" s="8">
        <v>0.69030000000000002</v>
      </c>
      <c r="AC5" s="8">
        <v>0.66210000000000002</v>
      </c>
      <c r="AD5" s="8">
        <v>0.71850000000000003</v>
      </c>
      <c r="AE5" s="8">
        <v>2.0299999999999999E-2</v>
      </c>
      <c r="AF5" s="8">
        <v>0.82720000000000005</v>
      </c>
      <c r="AG5" s="8">
        <v>0.8034</v>
      </c>
      <c r="AH5" s="8">
        <v>0.85099999999999998</v>
      </c>
      <c r="AI5" s="8">
        <v>1.7100000000000001E-2</v>
      </c>
      <c r="AJ5" s="8">
        <v>0.67779999999999996</v>
      </c>
      <c r="AK5" s="8">
        <v>0.64419999999999999</v>
      </c>
      <c r="AL5" s="8">
        <v>0.71140000000000003</v>
      </c>
      <c r="AM5" s="8">
        <v>2.4199999999999999E-2</v>
      </c>
    </row>
    <row r="6" spans="1:39" x14ac:dyDescent="0.25">
      <c r="A6" s="8" t="s">
        <v>165</v>
      </c>
      <c r="B6" s="8" t="s">
        <v>183</v>
      </c>
      <c r="C6" s="8">
        <v>5</v>
      </c>
      <c r="D6" s="8">
        <v>0.65359999999999996</v>
      </c>
      <c r="E6" s="8">
        <v>0.63200000000000001</v>
      </c>
      <c r="F6" s="8">
        <v>0.67510000000000003</v>
      </c>
      <c r="G6" s="8">
        <v>1.55E-2</v>
      </c>
      <c r="H6" s="8">
        <v>0.63649999999999995</v>
      </c>
      <c r="I6" s="8">
        <v>0.60580000000000001</v>
      </c>
      <c r="J6" s="8">
        <v>0.66720000000000002</v>
      </c>
      <c r="K6" s="8">
        <v>2.2100000000000002E-2</v>
      </c>
      <c r="L6" s="8">
        <v>0.62529999999999997</v>
      </c>
      <c r="M6" s="8">
        <v>0.59379999999999999</v>
      </c>
      <c r="N6" s="8">
        <v>0.65680000000000005</v>
      </c>
      <c r="O6" s="8">
        <v>2.2700000000000001E-2</v>
      </c>
      <c r="P6" s="8">
        <v>0.62219999999999998</v>
      </c>
      <c r="Q6" s="8">
        <v>0.59499999999999997</v>
      </c>
      <c r="R6" s="8">
        <v>0.64939999999999998</v>
      </c>
      <c r="S6" s="8">
        <v>1.9599999999999999E-2</v>
      </c>
      <c r="T6" s="8">
        <v>0.70340000000000003</v>
      </c>
      <c r="U6" s="8">
        <v>0.67379999999999995</v>
      </c>
      <c r="V6" s="8">
        <v>0.7329</v>
      </c>
      <c r="W6" s="8">
        <v>2.1299999999999999E-2</v>
      </c>
      <c r="X6" s="8">
        <v>0.65359999999999996</v>
      </c>
      <c r="Y6" s="8">
        <v>0.63200000000000001</v>
      </c>
      <c r="Z6" s="8">
        <v>0.67510000000000003</v>
      </c>
      <c r="AA6" s="8">
        <v>1.55E-2</v>
      </c>
      <c r="AB6" s="8">
        <v>0.67159999999999997</v>
      </c>
      <c r="AC6" s="8">
        <v>0.64949999999999997</v>
      </c>
      <c r="AD6" s="8">
        <v>0.69359999999999999</v>
      </c>
      <c r="AE6" s="8">
        <v>1.5900000000000001E-2</v>
      </c>
      <c r="AF6" s="8">
        <v>0.82340000000000002</v>
      </c>
      <c r="AG6" s="8">
        <v>0.79930000000000001</v>
      </c>
      <c r="AH6" s="8">
        <v>0.84740000000000004</v>
      </c>
      <c r="AI6" s="8">
        <v>1.7299999999999999E-2</v>
      </c>
      <c r="AJ6" s="8">
        <v>0.67879999999999996</v>
      </c>
      <c r="AK6" s="8">
        <v>0.63670000000000004</v>
      </c>
      <c r="AL6" s="8">
        <v>0.72089999999999999</v>
      </c>
      <c r="AM6" s="8">
        <v>3.0300000000000001E-2</v>
      </c>
    </row>
    <row r="7" spans="1:39" x14ac:dyDescent="0.25">
      <c r="A7" s="8" t="s">
        <v>165</v>
      </c>
      <c r="B7" s="8" t="s">
        <v>184</v>
      </c>
      <c r="C7" s="8">
        <v>5</v>
      </c>
      <c r="D7" s="8">
        <v>0.73140000000000005</v>
      </c>
      <c r="E7" s="8">
        <v>0.71519999999999995</v>
      </c>
      <c r="F7" s="8">
        <v>0.74760000000000004</v>
      </c>
      <c r="G7" s="8">
        <v>1.17E-2</v>
      </c>
      <c r="H7" s="8">
        <v>0.65580000000000005</v>
      </c>
      <c r="I7" s="8">
        <v>0.62509999999999999</v>
      </c>
      <c r="J7" s="8">
        <v>0.68659999999999999</v>
      </c>
      <c r="K7" s="8">
        <v>2.2100000000000002E-2</v>
      </c>
      <c r="L7" s="8">
        <v>0.62519999999999998</v>
      </c>
      <c r="M7" s="8">
        <v>0.60389999999999999</v>
      </c>
      <c r="N7" s="8">
        <v>0.64639999999999997</v>
      </c>
      <c r="O7" s="8">
        <v>1.5299999999999999E-2</v>
      </c>
      <c r="P7" s="8">
        <v>0.60750000000000004</v>
      </c>
      <c r="Q7" s="8">
        <v>0.58150000000000002</v>
      </c>
      <c r="R7" s="8">
        <v>0.63349999999999995</v>
      </c>
      <c r="S7" s="8">
        <v>1.8700000000000001E-2</v>
      </c>
      <c r="T7" s="8">
        <v>0.69540000000000002</v>
      </c>
      <c r="U7" s="8">
        <v>0.67249999999999999</v>
      </c>
      <c r="V7" s="8">
        <v>0.71819999999999995</v>
      </c>
      <c r="W7" s="8">
        <v>1.6500000000000001E-2</v>
      </c>
      <c r="X7" s="8">
        <v>0.73140000000000005</v>
      </c>
      <c r="Y7" s="8">
        <v>0.71519999999999995</v>
      </c>
      <c r="Z7" s="8">
        <v>0.74760000000000004</v>
      </c>
      <c r="AA7" s="8">
        <v>1.17E-2</v>
      </c>
      <c r="AB7" s="8">
        <v>0.69010000000000005</v>
      </c>
      <c r="AC7" s="8">
        <v>0.66969999999999996</v>
      </c>
      <c r="AD7" s="8">
        <v>0.71050000000000002</v>
      </c>
      <c r="AE7" s="8">
        <v>1.47E-2</v>
      </c>
      <c r="AF7" s="8">
        <v>0.82</v>
      </c>
      <c r="AG7" s="8">
        <v>0.79700000000000004</v>
      </c>
      <c r="AH7" s="8">
        <v>0.84309999999999996</v>
      </c>
      <c r="AI7" s="8">
        <v>1.66E-2</v>
      </c>
      <c r="AJ7" s="8">
        <v>0.66610000000000003</v>
      </c>
      <c r="AK7" s="8">
        <v>0.63529999999999998</v>
      </c>
      <c r="AL7" s="8">
        <v>0.69679999999999997</v>
      </c>
      <c r="AM7" s="8">
        <v>2.2200000000000001E-2</v>
      </c>
    </row>
    <row r="8" spans="1:39" x14ac:dyDescent="0.25">
      <c r="A8" s="8" t="s">
        <v>131</v>
      </c>
      <c r="B8" s="8" t="s">
        <v>182</v>
      </c>
      <c r="C8" s="8">
        <v>5</v>
      </c>
      <c r="D8" s="8">
        <v>0.71379999999999999</v>
      </c>
      <c r="E8" s="8">
        <v>0.69930000000000003</v>
      </c>
      <c r="F8" s="8">
        <v>0.72829999999999995</v>
      </c>
      <c r="G8" s="8">
        <v>1.04E-2</v>
      </c>
      <c r="H8" s="8">
        <v>0.63039999999999996</v>
      </c>
      <c r="I8" s="8">
        <v>0.59319999999999995</v>
      </c>
      <c r="J8" s="8">
        <v>0.66759999999999997</v>
      </c>
      <c r="K8" s="8">
        <v>2.6800000000000001E-2</v>
      </c>
      <c r="L8" s="8">
        <v>0.61299999999999999</v>
      </c>
      <c r="M8" s="8">
        <v>0.59299999999999997</v>
      </c>
      <c r="N8" s="8">
        <v>0.63300000000000001</v>
      </c>
      <c r="O8" s="8">
        <v>1.44E-2</v>
      </c>
      <c r="P8" s="8">
        <v>0.60119999999999996</v>
      </c>
      <c r="Q8" s="8">
        <v>0.5756</v>
      </c>
      <c r="R8" s="8">
        <v>0.62680000000000002</v>
      </c>
      <c r="S8" s="8">
        <v>1.84E-2</v>
      </c>
      <c r="T8" s="8">
        <v>0.67769999999999997</v>
      </c>
      <c r="U8" s="8">
        <v>0.65180000000000005</v>
      </c>
      <c r="V8" s="8">
        <v>0.70350000000000001</v>
      </c>
      <c r="W8" s="8">
        <v>1.8599999999999998E-2</v>
      </c>
      <c r="X8" s="8">
        <v>0.71379999999999999</v>
      </c>
      <c r="Y8" s="8">
        <v>0.69930000000000003</v>
      </c>
      <c r="Z8" s="8">
        <v>0.72829999999999995</v>
      </c>
      <c r="AA8" s="8">
        <v>1.04E-2</v>
      </c>
      <c r="AB8" s="8">
        <v>0.68010000000000004</v>
      </c>
      <c r="AC8" s="8">
        <v>0.66059999999999997</v>
      </c>
      <c r="AD8" s="8">
        <v>0.6996</v>
      </c>
      <c r="AE8" s="8">
        <v>1.41E-2</v>
      </c>
      <c r="AF8" s="8">
        <v>0.82</v>
      </c>
      <c r="AG8" s="8">
        <v>0.79020000000000001</v>
      </c>
      <c r="AH8" s="8">
        <v>0.84989999999999999</v>
      </c>
      <c r="AI8" s="8">
        <v>2.1499999999999998E-2</v>
      </c>
      <c r="AJ8" s="8">
        <v>0.67320000000000002</v>
      </c>
      <c r="AK8" s="8">
        <v>0.63719999999999999</v>
      </c>
      <c r="AL8" s="8">
        <v>0.70930000000000004</v>
      </c>
      <c r="AM8" s="8">
        <v>2.5999999999999999E-2</v>
      </c>
    </row>
    <row r="9" spans="1:39" x14ac:dyDescent="0.25">
      <c r="A9" s="8" t="s">
        <v>133</v>
      </c>
      <c r="B9" s="8" t="s">
        <v>182</v>
      </c>
      <c r="C9" s="8">
        <v>5</v>
      </c>
      <c r="D9" s="8">
        <v>0.71379999999999999</v>
      </c>
      <c r="E9" s="8">
        <v>0.69420000000000004</v>
      </c>
      <c r="F9" s="8">
        <v>0.73340000000000005</v>
      </c>
      <c r="G9" s="8">
        <v>1.41E-2</v>
      </c>
      <c r="H9" s="8">
        <v>0.65249999999999997</v>
      </c>
      <c r="I9" s="8">
        <v>0.60870000000000002</v>
      </c>
      <c r="J9" s="8">
        <v>0.69630000000000003</v>
      </c>
      <c r="K9" s="8">
        <v>3.1600000000000003E-2</v>
      </c>
      <c r="L9" s="8">
        <v>0.61739999999999995</v>
      </c>
      <c r="M9" s="8">
        <v>0.59050000000000002</v>
      </c>
      <c r="N9" s="8">
        <v>0.64439999999999997</v>
      </c>
      <c r="O9" s="8">
        <v>1.9400000000000001E-2</v>
      </c>
      <c r="P9" s="8">
        <v>0.61299999999999999</v>
      </c>
      <c r="Q9" s="8">
        <v>0.57689999999999997</v>
      </c>
      <c r="R9" s="8">
        <v>0.6492</v>
      </c>
      <c r="S9" s="8">
        <v>2.5999999999999999E-2</v>
      </c>
      <c r="T9" s="8">
        <v>0.69240000000000002</v>
      </c>
      <c r="U9" s="8">
        <v>0.65710000000000002</v>
      </c>
      <c r="V9" s="8">
        <v>0.7278</v>
      </c>
      <c r="W9" s="8">
        <v>2.5499999999999998E-2</v>
      </c>
      <c r="X9" s="8">
        <v>0.71379999999999999</v>
      </c>
      <c r="Y9" s="8">
        <v>0.69420000000000004</v>
      </c>
      <c r="Z9" s="8">
        <v>0.73340000000000005</v>
      </c>
      <c r="AA9" s="8">
        <v>1.41E-2</v>
      </c>
      <c r="AB9" s="8">
        <v>0.68510000000000004</v>
      </c>
      <c r="AC9" s="8">
        <v>0.65810000000000002</v>
      </c>
      <c r="AD9" s="8">
        <v>0.71199999999999997</v>
      </c>
      <c r="AE9" s="8">
        <v>1.9400000000000001E-2</v>
      </c>
      <c r="AF9" s="8">
        <v>0.81920000000000004</v>
      </c>
      <c r="AG9" s="8">
        <v>0.7913</v>
      </c>
      <c r="AH9" s="8">
        <v>0.84709999999999996</v>
      </c>
      <c r="AI9" s="8">
        <v>2.01E-2</v>
      </c>
      <c r="AJ9" s="8">
        <v>0.67259999999999998</v>
      </c>
      <c r="AK9" s="8">
        <v>0.64190000000000003</v>
      </c>
      <c r="AL9" s="8">
        <v>0.70330000000000004</v>
      </c>
      <c r="AM9" s="8">
        <v>2.2100000000000002E-2</v>
      </c>
    </row>
    <row r="10" spans="1:39" x14ac:dyDescent="0.25">
      <c r="A10" s="8" t="s">
        <v>134</v>
      </c>
      <c r="B10" s="8" t="s">
        <v>182</v>
      </c>
      <c r="C10" s="8">
        <v>5</v>
      </c>
      <c r="D10" s="8">
        <v>0.70550000000000002</v>
      </c>
      <c r="E10" s="8">
        <v>0.67810000000000004</v>
      </c>
      <c r="F10" s="8">
        <v>0.73280000000000001</v>
      </c>
      <c r="G10" s="8">
        <v>1.9699999999999999E-2</v>
      </c>
      <c r="H10" s="8">
        <v>0.64270000000000005</v>
      </c>
      <c r="I10" s="8">
        <v>0.59609999999999996</v>
      </c>
      <c r="J10" s="8">
        <v>0.68930000000000002</v>
      </c>
      <c r="K10" s="8">
        <v>3.3599999999999998E-2</v>
      </c>
      <c r="L10" s="8">
        <v>0.61839999999999995</v>
      </c>
      <c r="M10" s="8">
        <v>0.58489999999999998</v>
      </c>
      <c r="N10" s="8">
        <v>0.65190000000000003</v>
      </c>
      <c r="O10" s="8">
        <v>2.41E-2</v>
      </c>
      <c r="P10" s="8">
        <v>0.61719999999999997</v>
      </c>
      <c r="Q10" s="8">
        <v>0.57769999999999999</v>
      </c>
      <c r="R10" s="8">
        <v>0.65680000000000005</v>
      </c>
      <c r="S10" s="8">
        <v>2.8500000000000001E-2</v>
      </c>
      <c r="T10" s="8">
        <v>0.68530000000000002</v>
      </c>
      <c r="U10" s="8">
        <v>0.6482</v>
      </c>
      <c r="V10" s="8">
        <v>0.72240000000000004</v>
      </c>
      <c r="W10" s="8">
        <v>2.6700000000000002E-2</v>
      </c>
      <c r="X10" s="8">
        <v>0.70550000000000002</v>
      </c>
      <c r="Y10" s="8">
        <v>0.67810000000000004</v>
      </c>
      <c r="Z10" s="8">
        <v>0.73280000000000001</v>
      </c>
      <c r="AA10" s="8">
        <v>1.9699999999999999E-2</v>
      </c>
      <c r="AB10" s="8">
        <v>0.68410000000000004</v>
      </c>
      <c r="AC10" s="8">
        <v>0.65210000000000001</v>
      </c>
      <c r="AD10" s="8">
        <v>0.71609999999999996</v>
      </c>
      <c r="AE10" s="8">
        <v>2.3E-2</v>
      </c>
      <c r="AF10" s="8">
        <v>0.81859999999999999</v>
      </c>
      <c r="AG10" s="8">
        <v>0.78990000000000005</v>
      </c>
      <c r="AH10" s="8">
        <v>0.84719999999999995</v>
      </c>
      <c r="AI10" s="8">
        <v>2.06E-2</v>
      </c>
      <c r="AJ10" s="8">
        <v>0.67559999999999998</v>
      </c>
      <c r="AK10" s="8">
        <v>0.65280000000000005</v>
      </c>
      <c r="AL10" s="8">
        <v>0.69840000000000002</v>
      </c>
      <c r="AM10" s="8">
        <v>1.6400000000000001E-2</v>
      </c>
    </row>
    <row r="11" spans="1:39" x14ac:dyDescent="0.25">
      <c r="A11" s="8" t="s">
        <v>132</v>
      </c>
      <c r="B11" s="8" t="s">
        <v>184</v>
      </c>
      <c r="C11" s="8">
        <v>5</v>
      </c>
      <c r="D11" s="8">
        <v>0.72970000000000002</v>
      </c>
      <c r="E11" s="8">
        <v>0.69710000000000005</v>
      </c>
      <c r="F11" s="8">
        <v>0.76219999999999999</v>
      </c>
      <c r="G11" s="8">
        <v>2.35E-2</v>
      </c>
      <c r="H11" s="8">
        <v>0.65400000000000003</v>
      </c>
      <c r="I11" s="8">
        <v>0.56689999999999996</v>
      </c>
      <c r="J11" s="8">
        <v>0.74109999999999998</v>
      </c>
      <c r="K11" s="8">
        <v>6.2700000000000006E-2</v>
      </c>
      <c r="L11" s="8">
        <v>0.62870000000000004</v>
      </c>
      <c r="M11" s="8">
        <v>0.58350000000000002</v>
      </c>
      <c r="N11" s="8">
        <v>0.67379999999999995</v>
      </c>
      <c r="O11" s="8">
        <v>3.2500000000000001E-2</v>
      </c>
      <c r="P11" s="8">
        <v>0.61580000000000001</v>
      </c>
      <c r="Q11" s="8">
        <v>0.55400000000000005</v>
      </c>
      <c r="R11" s="8">
        <v>0.67759999999999998</v>
      </c>
      <c r="S11" s="8">
        <v>4.4499999999999998E-2</v>
      </c>
      <c r="T11" s="8">
        <v>0.69430000000000003</v>
      </c>
      <c r="U11" s="8">
        <v>0.63290000000000002</v>
      </c>
      <c r="V11" s="8">
        <v>0.75570000000000004</v>
      </c>
      <c r="W11" s="8">
        <v>4.4200000000000003E-2</v>
      </c>
      <c r="X11" s="8">
        <v>0.72970000000000002</v>
      </c>
      <c r="Y11" s="8">
        <v>0.69710000000000005</v>
      </c>
      <c r="Z11" s="8">
        <v>0.76219999999999999</v>
      </c>
      <c r="AA11" s="8">
        <v>2.35E-2</v>
      </c>
      <c r="AB11" s="8">
        <v>0.69340000000000002</v>
      </c>
      <c r="AC11" s="8">
        <v>0.64890000000000003</v>
      </c>
      <c r="AD11" s="8">
        <v>0.7379</v>
      </c>
      <c r="AE11" s="8">
        <v>3.2099999999999997E-2</v>
      </c>
      <c r="AF11" s="8">
        <v>0.81759999999999999</v>
      </c>
      <c r="AG11" s="8">
        <v>0.78690000000000004</v>
      </c>
      <c r="AH11" s="8">
        <v>0.84830000000000005</v>
      </c>
      <c r="AI11" s="8">
        <v>2.2100000000000002E-2</v>
      </c>
      <c r="AJ11" s="8">
        <v>0.66739999999999999</v>
      </c>
      <c r="AK11" s="8">
        <v>0.63429999999999997</v>
      </c>
      <c r="AL11" s="8">
        <v>0.70050000000000001</v>
      </c>
      <c r="AM11" s="8">
        <v>2.3800000000000002E-2</v>
      </c>
    </row>
    <row r="12" spans="1:39" x14ac:dyDescent="0.25">
      <c r="A12" s="8" t="s">
        <v>131</v>
      </c>
      <c r="B12" s="8" t="s">
        <v>184</v>
      </c>
      <c r="C12" s="8">
        <v>5</v>
      </c>
      <c r="D12" s="8">
        <v>0.71299999999999997</v>
      </c>
      <c r="E12" s="8">
        <v>0.69199999999999995</v>
      </c>
      <c r="F12" s="8">
        <v>0.73399999999999999</v>
      </c>
      <c r="G12" s="8">
        <v>1.5100000000000001E-2</v>
      </c>
      <c r="H12" s="8">
        <v>0.61870000000000003</v>
      </c>
      <c r="I12" s="8">
        <v>0.5675</v>
      </c>
      <c r="J12" s="8">
        <v>0.66990000000000005</v>
      </c>
      <c r="K12" s="8">
        <v>3.6900000000000002E-2</v>
      </c>
      <c r="L12" s="8">
        <v>0.6048</v>
      </c>
      <c r="M12" s="8">
        <v>0.58050000000000002</v>
      </c>
      <c r="N12" s="8">
        <v>0.629</v>
      </c>
      <c r="O12" s="8">
        <v>1.7500000000000002E-2</v>
      </c>
      <c r="P12" s="8">
        <v>0.58360000000000001</v>
      </c>
      <c r="Q12" s="8">
        <v>0.55530000000000002</v>
      </c>
      <c r="R12" s="8">
        <v>0.6119</v>
      </c>
      <c r="S12" s="8">
        <v>2.0400000000000001E-2</v>
      </c>
      <c r="T12" s="8">
        <v>0.66769999999999996</v>
      </c>
      <c r="U12" s="8">
        <v>0.63280000000000003</v>
      </c>
      <c r="V12" s="8">
        <v>0.7026</v>
      </c>
      <c r="W12" s="8">
        <v>2.5100000000000001E-2</v>
      </c>
      <c r="X12" s="8">
        <v>0.71299999999999997</v>
      </c>
      <c r="Y12" s="8">
        <v>0.69199999999999995</v>
      </c>
      <c r="Z12" s="8">
        <v>0.73399999999999999</v>
      </c>
      <c r="AA12" s="8">
        <v>1.5100000000000001E-2</v>
      </c>
      <c r="AB12" s="8">
        <v>0.66969999999999996</v>
      </c>
      <c r="AC12" s="8">
        <v>0.64649999999999996</v>
      </c>
      <c r="AD12" s="8">
        <v>0.69299999999999995</v>
      </c>
      <c r="AE12" s="8">
        <v>1.67E-2</v>
      </c>
      <c r="AF12" s="8">
        <v>0.81210000000000004</v>
      </c>
      <c r="AG12" s="8">
        <v>0.78369999999999995</v>
      </c>
      <c r="AH12" s="8">
        <v>0.84040000000000004</v>
      </c>
      <c r="AI12" s="8">
        <v>2.0400000000000001E-2</v>
      </c>
      <c r="AJ12" s="8">
        <v>0.65600000000000003</v>
      </c>
      <c r="AK12" s="8">
        <v>0.61970000000000003</v>
      </c>
      <c r="AL12" s="8">
        <v>0.69220000000000004</v>
      </c>
      <c r="AM12" s="8">
        <v>2.6100000000000002E-2</v>
      </c>
    </row>
    <row r="13" spans="1:39" x14ac:dyDescent="0.25">
      <c r="A13" s="8" t="s">
        <v>185</v>
      </c>
      <c r="B13" s="8" t="s">
        <v>184</v>
      </c>
      <c r="C13" s="8">
        <v>5</v>
      </c>
      <c r="D13" s="8">
        <v>0.71879999999999999</v>
      </c>
      <c r="E13" s="8">
        <v>0.70760000000000001</v>
      </c>
      <c r="F13" s="8">
        <v>0.73</v>
      </c>
      <c r="G13" s="8">
        <v>8.0999999999999996E-3</v>
      </c>
      <c r="H13" s="8">
        <v>0.61829999999999996</v>
      </c>
      <c r="I13" s="8">
        <v>0.56189999999999996</v>
      </c>
      <c r="J13" s="8">
        <v>0.67459999999999998</v>
      </c>
      <c r="K13" s="8">
        <v>4.0599999999999997E-2</v>
      </c>
      <c r="L13" s="8">
        <v>0.60570000000000002</v>
      </c>
      <c r="M13" s="8">
        <v>0.59619999999999995</v>
      </c>
      <c r="N13" s="8">
        <v>0.61529999999999996</v>
      </c>
      <c r="O13" s="8">
        <v>6.8999999999999999E-3</v>
      </c>
      <c r="P13" s="8">
        <v>0.57979999999999998</v>
      </c>
      <c r="Q13" s="8">
        <v>0.55920000000000003</v>
      </c>
      <c r="R13" s="8">
        <v>0.60050000000000003</v>
      </c>
      <c r="S13" s="8">
        <v>1.49E-2</v>
      </c>
      <c r="T13" s="8">
        <v>0.66890000000000005</v>
      </c>
      <c r="U13" s="8">
        <v>0.63470000000000004</v>
      </c>
      <c r="V13" s="8">
        <v>0.70309999999999995</v>
      </c>
      <c r="W13" s="8">
        <v>2.46E-2</v>
      </c>
      <c r="X13" s="8">
        <v>0.71879999999999999</v>
      </c>
      <c r="Y13" s="8">
        <v>0.70760000000000001</v>
      </c>
      <c r="Z13" s="8">
        <v>0.73</v>
      </c>
      <c r="AA13" s="8">
        <v>8.0999999999999996E-3</v>
      </c>
      <c r="AB13" s="8">
        <v>0.67020000000000002</v>
      </c>
      <c r="AC13" s="8">
        <v>0.6593</v>
      </c>
      <c r="AD13" s="8">
        <v>0.68100000000000005</v>
      </c>
      <c r="AE13" s="8">
        <v>7.7999999999999996E-3</v>
      </c>
      <c r="AF13" s="8">
        <v>0.81020000000000003</v>
      </c>
      <c r="AG13" s="8">
        <v>0.78810000000000002</v>
      </c>
      <c r="AH13" s="8">
        <v>0.83230000000000004</v>
      </c>
      <c r="AI13" s="8">
        <v>1.5900000000000001E-2</v>
      </c>
      <c r="AJ13" s="8">
        <v>0.65139999999999998</v>
      </c>
      <c r="AK13" s="8">
        <v>0.62560000000000004</v>
      </c>
      <c r="AL13" s="8">
        <v>0.67730000000000001</v>
      </c>
      <c r="AM13" s="8">
        <v>1.8599999999999998E-2</v>
      </c>
    </row>
    <row r="14" spans="1:39" x14ac:dyDescent="0.25">
      <c r="A14" s="8" t="s">
        <v>164</v>
      </c>
      <c r="B14" s="8" t="s">
        <v>182</v>
      </c>
      <c r="C14" s="8">
        <v>5</v>
      </c>
      <c r="D14" s="8">
        <v>0.69369999999999998</v>
      </c>
      <c r="E14" s="8">
        <v>0.67930000000000001</v>
      </c>
      <c r="F14" s="8">
        <v>0.70809999999999995</v>
      </c>
      <c r="G14" s="8">
        <v>1.04E-2</v>
      </c>
      <c r="H14" s="8">
        <v>0.61419999999999997</v>
      </c>
      <c r="I14" s="8">
        <v>0.59250000000000003</v>
      </c>
      <c r="J14" s="8">
        <v>0.63580000000000003</v>
      </c>
      <c r="K14" s="8">
        <v>1.5599999999999999E-2</v>
      </c>
      <c r="L14" s="8">
        <v>0.59970000000000001</v>
      </c>
      <c r="M14" s="8">
        <v>0.58889999999999998</v>
      </c>
      <c r="N14" s="8">
        <v>0.61050000000000004</v>
      </c>
      <c r="O14" s="8">
        <v>7.7999999999999996E-3</v>
      </c>
      <c r="P14" s="8">
        <v>0.59299999999999997</v>
      </c>
      <c r="Q14" s="8">
        <v>0.5857</v>
      </c>
      <c r="R14" s="8">
        <v>0.60040000000000004</v>
      </c>
      <c r="S14" s="8">
        <v>5.3E-3</v>
      </c>
      <c r="T14" s="8">
        <v>0.66459999999999997</v>
      </c>
      <c r="U14" s="8">
        <v>0.65529999999999999</v>
      </c>
      <c r="V14" s="8">
        <v>0.67400000000000004</v>
      </c>
      <c r="W14" s="8">
        <v>6.7000000000000002E-3</v>
      </c>
      <c r="X14" s="8">
        <v>0.69369999999999998</v>
      </c>
      <c r="Y14" s="8">
        <v>0.67930000000000001</v>
      </c>
      <c r="Z14" s="8">
        <v>0.70809999999999995</v>
      </c>
      <c r="AA14" s="8">
        <v>1.04E-2</v>
      </c>
      <c r="AB14" s="8">
        <v>0.66790000000000005</v>
      </c>
      <c r="AC14" s="8">
        <v>0.65949999999999998</v>
      </c>
      <c r="AD14" s="8">
        <v>0.67630000000000001</v>
      </c>
      <c r="AE14" s="8">
        <v>6.0000000000000001E-3</v>
      </c>
      <c r="AF14" s="8">
        <v>0.80810000000000004</v>
      </c>
      <c r="AG14" s="8">
        <v>0.79300000000000004</v>
      </c>
      <c r="AH14" s="8">
        <v>0.82310000000000005</v>
      </c>
      <c r="AI14" s="8">
        <v>1.09E-2</v>
      </c>
      <c r="AJ14" s="8">
        <v>0.65969999999999995</v>
      </c>
      <c r="AK14" s="8">
        <v>0.65249999999999997</v>
      </c>
      <c r="AL14" s="8">
        <v>0.66700000000000004</v>
      </c>
      <c r="AM14" s="8">
        <v>5.1999999999999998E-3</v>
      </c>
    </row>
    <row r="15" spans="1:39" x14ac:dyDescent="0.25">
      <c r="A15" s="8" t="s">
        <v>132</v>
      </c>
      <c r="B15" s="8" t="s">
        <v>183</v>
      </c>
      <c r="C15" s="8">
        <v>5</v>
      </c>
      <c r="D15" s="8">
        <v>0.63929999999999998</v>
      </c>
      <c r="E15" s="8">
        <v>0.60289999999999999</v>
      </c>
      <c r="F15" s="8">
        <v>0.67579999999999996</v>
      </c>
      <c r="G15" s="8">
        <v>2.63E-2</v>
      </c>
      <c r="H15" s="8">
        <v>0.62190000000000001</v>
      </c>
      <c r="I15" s="8">
        <v>0.58689999999999998</v>
      </c>
      <c r="J15" s="8">
        <v>0.65680000000000005</v>
      </c>
      <c r="K15" s="8">
        <v>2.52E-2</v>
      </c>
      <c r="L15" s="8">
        <v>0.60919999999999996</v>
      </c>
      <c r="M15" s="8">
        <v>0.56679999999999997</v>
      </c>
      <c r="N15" s="8">
        <v>0.65149999999999997</v>
      </c>
      <c r="O15" s="8">
        <v>3.0499999999999999E-2</v>
      </c>
      <c r="P15" s="8">
        <v>0.6079</v>
      </c>
      <c r="Q15" s="8">
        <v>0.56999999999999995</v>
      </c>
      <c r="R15" s="8">
        <v>0.64580000000000004</v>
      </c>
      <c r="S15" s="8">
        <v>2.7300000000000001E-2</v>
      </c>
      <c r="T15" s="8">
        <v>0.68610000000000004</v>
      </c>
      <c r="U15" s="8">
        <v>0.65500000000000003</v>
      </c>
      <c r="V15" s="8">
        <v>0.71719999999999995</v>
      </c>
      <c r="W15" s="8">
        <v>2.24E-2</v>
      </c>
      <c r="X15" s="8">
        <v>0.63929999999999998</v>
      </c>
      <c r="Y15" s="8">
        <v>0.60289999999999999</v>
      </c>
      <c r="Z15" s="8">
        <v>0.67579999999999996</v>
      </c>
      <c r="AA15" s="8">
        <v>2.63E-2</v>
      </c>
      <c r="AB15" s="8">
        <v>0.65659999999999996</v>
      </c>
      <c r="AC15" s="8">
        <v>0.62390000000000001</v>
      </c>
      <c r="AD15" s="8">
        <v>0.68930000000000002</v>
      </c>
      <c r="AE15" s="8">
        <v>2.35E-2</v>
      </c>
      <c r="AF15" s="8">
        <v>0.80620000000000003</v>
      </c>
      <c r="AG15" s="8">
        <v>0.77810000000000001</v>
      </c>
      <c r="AH15" s="8">
        <v>0.83430000000000004</v>
      </c>
      <c r="AI15" s="8">
        <v>2.0199999999999999E-2</v>
      </c>
      <c r="AJ15" s="8">
        <v>0.65590000000000004</v>
      </c>
      <c r="AK15" s="8">
        <v>0.61629999999999996</v>
      </c>
      <c r="AL15" s="8">
        <v>0.69540000000000002</v>
      </c>
      <c r="AM15" s="8">
        <v>2.8500000000000001E-2</v>
      </c>
    </row>
    <row r="16" spans="1:39" x14ac:dyDescent="0.25">
      <c r="A16" s="8" t="s">
        <v>133</v>
      </c>
      <c r="B16" s="8" t="s">
        <v>184</v>
      </c>
      <c r="C16" s="8">
        <v>5</v>
      </c>
      <c r="D16" s="8">
        <v>0.71209999999999996</v>
      </c>
      <c r="E16" s="8">
        <v>0.69479999999999997</v>
      </c>
      <c r="F16" s="8">
        <v>0.72950000000000004</v>
      </c>
      <c r="G16" s="8">
        <v>1.2500000000000001E-2</v>
      </c>
      <c r="H16" s="8">
        <v>0.63090000000000002</v>
      </c>
      <c r="I16" s="8">
        <v>0.59640000000000004</v>
      </c>
      <c r="J16" s="8">
        <v>0.66539999999999999</v>
      </c>
      <c r="K16" s="8">
        <v>2.4799999999999999E-2</v>
      </c>
      <c r="L16" s="8">
        <v>0.60670000000000002</v>
      </c>
      <c r="M16" s="8">
        <v>0.58799999999999997</v>
      </c>
      <c r="N16" s="8">
        <v>0.62539999999999996</v>
      </c>
      <c r="O16" s="8">
        <v>1.35E-2</v>
      </c>
      <c r="P16" s="8">
        <v>0.59219999999999995</v>
      </c>
      <c r="Q16" s="8">
        <v>0.57230000000000003</v>
      </c>
      <c r="R16" s="8">
        <v>0.61209999999999998</v>
      </c>
      <c r="S16" s="8">
        <v>1.43E-2</v>
      </c>
      <c r="T16" s="8">
        <v>0.67700000000000005</v>
      </c>
      <c r="U16" s="8">
        <v>0.65280000000000005</v>
      </c>
      <c r="V16" s="8">
        <v>0.70130000000000003</v>
      </c>
      <c r="W16" s="8">
        <v>1.7500000000000002E-2</v>
      </c>
      <c r="X16" s="8">
        <v>0.71209999999999996</v>
      </c>
      <c r="Y16" s="8">
        <v>0.69479999999999997</v>
      </c>
      <c r="Z16" s="8">
        <v>0.72950000000000004</v>
      </c>
      <c r="AA16" s="8">
        <v>1.2500000000000001E-2</v>
      </c>
      <c r="AB16" s="8">
        <v>0.67420000000000002</v>
      </c>
      <c r="AC16" s="8">
        <v>0.65580000000000005</v>
      </c>
      <c r="AD16" s="8">
        <v>0.69269999999999998</v>
      </c>
      <c r="AE16" s="8">
        <v>1.3299999999999999E-2</v>
      </c>
      <c r="AF16" s="8">
        <v>0.80389999999999995</v>
      </c>
      <c r="AG16" s="8">
        <v>0.77729999999999999</v>
      </c>
      <c r="AH16" s="8">
        <v>0.8306</v>
      </c>
      <c r="AI16" s="8">
        <v>1.9199999999999998E-2</v>
      </c>
      <c r="AJ16" s="8">
        <v>0.64849999999999997</v>
      </c>
      <c r="AK16" s="8">
        <v>0.61860000000000004</v>
      </c>
      <c r="AL16" s="8">
        <v>0.6784</v>
      </c>
      <c r="AM16" s="8">
        <v>2.1499999999999998E-2</v>
      </c>
    </row>
    <row r="17" spans="1:39" x14ac:dyDescent="0.25">
      <c r="A17" s="8" t="s">
        <v>164</v>
      </c>
      <c r="B17" s="8" t="s">
        <v>184</v>
      </c>
      <c r="C17" s="8">
        <v>5</v>
      </c>
      <c r="D17" s="8">
        <v>0.70630000000000004</v>
      </c>
      <c r="E17" s="8">
        <v>0.69330000000000003</v>
      </c>
      <c r="F17" s="8">
        <v>0.71919999999999995</v>
      </c>
      <c r="G17" s="8">
        <v>9.2999999999999992E-3</v>
      </c>
      <c r="H17" s="8">
        <v>0.64539999999999997</v>
      </c>
      <c r="I17" s="8">
        <v>0.60809999999999997</v>
      </c>
      <c r="J17" s="8">
        <v>0.68269999999999997</v>
      </c>
      <c r="K17" s="8">
        <v>2.6800000000000001E-2</v>
      </c>
      <c r="L17" s="8">
        <v>0.59379999999999999</v>
      </c>
      <c r="M17" s="8">
        <v>0.57389999999999997</v>
      </c>
      <c r="N17" s="8">
        <v>0.61370000000000002</v>
      </c>
      <c r="O17" s="8">
        <v>1.43E-2</v>
      </c>
      <c r="P17" s="8">
        <v>0.56679999999999997</v>
      </c>
      <c r="Q17" s="8">
        <v>0.53659999999999997</v>
      </c>
      <c r="R17" s="8">
        <v>0.59699999999999998</v>
      </c>
      <c r="S17" s="8">
        <v>2.18E-2</v>
      </c>
      <c r="T17" s="8">
        <v>0.67559999999999998</v>
      </c>
      <c r="U17" s="8">
        <v>0.65359999999999996</v>
      </c>
      <c r="V17" s="8">
        <v>0.6976</v>
      </c>
      <c r="W17" s="8">
        <v>1.5800000000000002E-2</v>
      </c>
      <c r="X17" s="8">
        <v>0.70630000000000004</v>
      </c>
      <c r="Y17" s="8">
        <v>0.69330000000000003</v>
      </c>
      <c r="Z17" s="8">
        <v>0.71919999999999995</v>
      </c>
      <c r="AA17" s="8">
        <v>9.2999999999999992E-3</v>
      </c>
      <c r="AB17" s="8">
        <v>0.65449999999999997</v>
      </c>
      <c r="AC17" s="8">
        <v>0.63180000000000003</v>
      </c>
      <c r="AD17" s="8">
        <v>0.67720000000000002</v>
      </c>
      <c r="AE17" s="8">
        <v>1.6400000000000001E-2</v>
      </c>
      <c r="AF17" s="8">
        <v>0.80110000000000003</v>
      </c>
      <c r="AG17" s="8">
        <v>0.77159999999999995</v>
      </c>
      <c r="AH17" s="8">
        <v>0.83050000000000002</v>
      </c>
      <c r="AI17" s="8">
        <v>2.12E-2</v>
      </c>
      <c r="AJ17" s="8">
        <v>0.65280000000000005</v>
      </c>
      <c r="AK17" s="8">
        <v>0.61929999999999996</v>
      </c>
      <c r="AL17" s="8">
        <v>0.68640000000000001</v>
      </c>
      <c r="AM17" s="8">
        <v>2.4199999999999999E-2</v>
      </c>
    </row>
    <row r="18" spans="1:39" x14ac:dyDescent="0.25">
      <c r="A18" s="8" t="s">
        <v>131</v>
      </c>
      <c r="B18" s="8" t="s">
        <v>183</v>
      </c>
      <c r="C18" s="8">
        <v>5</v>
      </c>
      <c r="D18" s="8">
        <v>0.63180000000000003</v>
      </c>
      <c r="E18" s="8">
        <v>0.60660000000000003</v>
      </c>
      <c r="F18" s="8">
        <v>0.65700000000000003</v>
      </c>
      <c r="G18" s="8">
        <v>1.8100000000000002E-2</v>
      </c>
      <c r="H18" s="8">
        <v>0.61480000000000001</v>
      </c>
      <c r="I18" s="8">
        <v>0.59350000000000003</v>
      </c>
      <c r="J18" s="8">
        <v>0.6361</v>
      </c>
      <c r="K18" s="8">
        <v>1.5299999999999999E-2</v>
      </c>
      <c r="L18" s="8">
        <v>0.59770000000000001</v>
      </c>
      <c r="M18" s="8">
        <v>0.57050000000000001</v>
      </c>
      <c r="N18" s="8">
        <v>0.62480000000000002</v>
      </c>
      <c r="O18" s="8">
        <v>1.95E-2</v>
      </c>
      <c r="P18" s="8">
        <v>0.5988</v>
      </c>
      <c r="Q18" s="8">
        <v>0.57440000000000002</v>
      </c>
      <c r="R18" s="8">
        <v>0.62319999999999998</v>
      </c>
      <c r="S18" s="8">
        <v>1.7600000000000001E-2</v>
      </c>
      <c r="T18" s="8">
        <v>0.68</v>
      </c>
      <c r="U18" s="8">
        <v>0.65800000000000003</v>
      </c>
      <c r="V18" s="8">
        <v>0.70199999999999996</v>
      </c>
      <c r="W18" s="8">
        <v>1.5900000000000001E-2</v>
      </c>
      <c r="X18" s="8">
        <v>0.63180000000000003</v>
      </c>
      <c r="Y18" s="8">
        <v>0.60660000000000003</v>
      </c>
      <c r="Z18" s="8">
        <v>0.65700000000000003</v>
      </c>
      <c r="AA18" s="8">
        <v>1.8100000000000002E-2</v>
      </c>
      <c r="AB18" s="8">
        <v>0.64990000000000003</v>
      </c>
      <c r="AC18" s="8">
        <v>0.62719999999999998</v>
      </c>
      <c r="AD18" s="8">
        <v>0.67259999999999998</v>
      </c>
      <c r="AE18" s="8">
        <v>1.6400000000000001E-2</v>
      </c>
      <c r="AF18" s="8">
        <v>0.79930000000000001</v>
      </c>
      <c r="AG18" s="8">
        <v>0.76659999999999995</v>
      </c>
      <c r="AH18" s="8">
        <v>0.83209999999999995</v>
      </c>
      <c r="AI18" s="8">
        <v>2.3599999999999999E-2</v>
      </c>
      <c r="AJ18" s="8">
        <v>0.64510000000000001</v>
      </c>
      <c r="AK18" s="8">
        <v>0.60409999999999997</v>
      </c>
      <c r="AL18" s="8">
        <v>0.68610000000000004</v>
      </c>
      <c r="AM18" s="8">
        <v>2.9499999999999998E-2</v>
      </c>
    </row>
    <row r="19" spans="1:39" x14ac:dyDescent="0.25">
      <c r="A19" s="8" t="s">
        <v>134</v>
      </c>
      <c r="B19" s="8" t="s">
        <v>184</v>
      </c>
      <c r="C19" s="8">
        <v>5</v>
      </c>
      <c r="D19" s="8">
        <v>0.69789999999999996</v>
      </c>
      <c r="E19" s="8">
        <v>0.67610000000000003</v>
      </c>
      <c r="F19" s="8">
        <v>0.7198</v>
      </c>
      <c r="G19" s="8">
        <v>1.5699999999999999E-2</v>
      </c>
      <c r="H19" s="8">
        <v>0.5998</v>
      </c>
      <c r="I19" s="8">
        <v>0.55820000000000003</v>
      </c>
      <c r="J19" s="8">
        <v>0.64139999999999997</v>
      </c>
      <c r="K19" s="8">
        <v>0.03</v>
      </c>
      <c r="L19" s="8">
        <v>0.59379999999999999</v>
      </c>
      <c r="M19" s="8">
        <v>0.56850000000000001</v>
      </c>
      <c r="N19" s="8">
        <v>0.61919999999999997</v>
      </c>
      <c r="O19" s="8">
        <v>1.83E-2</v>
      </c>
      <c r="P19" s="8">
        <v>0.57530000000000003</v>
      </c>
      <c r="Q19" s="8">
        <v>0.54610000000000003</v>
      </c>
      <c r="R19" s="8">
        <v>0.60440000000000005</v>
      </c>
      <c r="S19" s="8">
        <v>2.1000000000000001E-2</v>
      </c>
      <c r="T19" s="8">
        <v>0.65249999999999997</v>
      </c>
      <c r="U19" s="8">
        <v>0.62260000000000004</v>
      </c>
      <c r="V19" s="8">
        <v>0.68240000000000001</v>
      </c>
      <c r="W19" s="8">
        <v>2.1499999999999998E-2</v>
      </c>
      <c r="X19" s="8">
        <v>0.69789999999999996</v>
      </c>
      <c r="Y19" s="8">
        <v>0.67610000000000003</v>
      </c>
      <c r="Z19" s="8">
        <v>0.7198</v>
      </c>
      <c r="AA19" s="8">
        <v>1.5699999999999999E-2</v>
      </c>
      <c r="AB19" s="8">
        <v>0.65910000000000002</v>
      </c>
      <c r="AC19" s="8">
        <v>0.63360000000000005</v>
      </c>
      <c r="AD19" s="8">
        <v>0.68469999999999998</v>
      </c>
      <c r="AE19" s="8">
        <v>1.84E-2</v>
      </c>
      <c r="AF19" s="8">
        <v>0.79210000000000003</v>
      </c>
      <c r="AG19" s="8">
        <v>0.7702</v>
      </c>
      <c r="AH19" s="8">
        <v>0.81389999999999996</v>
      </c>
      <c r="AI19" s="8">
        <v>1.5699999999999999E-2</v>
      </c>
      <c r="AJ19" s="8">
        <v>0.63329999999999997</v>
      </c>
      <c r="AK19" s="8">
        <v>0.61160000000000003</v>
      </c>
      <c r="AL19" s="8">
        <v>0.65510000000000002</v>
      </c>
      <c r="AM19" s="8">
        <v>1.5699999999999999E-2</v>
      </c>
    </row>
    <row r="20" spans="1:39" x14ac:dyDescent="0.25">
      <c r="A20" s="8" t="s">
        <v>124</v>
      </c>
      <c r="B20" s="8" t="s">
        <v>184</v>
      </c>
      <c r="C20" s="8">
        <v>5</v>
      </c>
      <c r="D20" s="8">
        <v>0.66859999999999997</v>
      </c>
      <c r="E20" s="8">
        <v>0.6542</v>
      </c>
      <c r="F20" s="8">
        <v>0.68300000000000005</v>
      </c>
      <c r="G20" s="8">
        <v>1.04E-2</v>
      </c>
      <c r="H20" s="8">
        <v>0.56069999999999998</v>
      </c>
      <c r="I20" s="8">
        <v>0.53559999999999997</v>
      </c>
      <c r="J20" s="8">
        <v>0.58579999999999999</v>
      </c>
      <c r="K20" s="8">
        <v>1.8100000000000002E-2</v>
      </c>
      <c r="L20" s="8">
        <v>0.57389999999999997</v>
      </c>
      <c r="M20" s="8">
        <v>0.56169999999999998</v>
      </c>
      <c r="N20" s="8">
        <v>0.58620000000000005</v>
      </c>
      <c r="O20" s="8">
        <v>8.8000000000000005E-3</v>
      </c>
      <c r="P20" s="8">
        <v>0.55400000000000005</v>
      </c>
      <c r="Q20" s="8">
        <v>0.53100000000000003</v>
      </c>
      <c r="R20" s="8">
        <v>0.57689999999999997</v>
      </c>
      <c r="S20" s="8">
        <v>1.66E-2</v>
      </c>
      <c r="T20" s="8">
        <v>0.62</v>
      </c>
      <c r="U20" s="8">
        <v>0.60070000000000001</v>
      </c>
      <c r="V20" s="8">
        <v>0.63939999999999997</v>
      </c>
      <c r="W20" s="8">
        <v>1.3899999999999999E-2</v>
      </c>
      <c r="X20" s="8">
        <v>0.66859999999999997</v>
      </c>
      <c r="Y20" s="8">
        <v>0.6542</v>
      </c>
      <c r="Z20" s="8">
        <v>0.68300000000000005</v>
      </c>
      <c r="AA20" s="8">
        <v>1.04E-2</v>
      </c>
      <c r="AB20" s="8">
        <v>0.6341</v>
      </c>
      <c r="AC20" s="8">
        <v>0.61970000000000003</v>
      </c>
      <c r="AD20" s="8">
        <v>0.64859999999999995</v>
      </c>
      <c r="AE20" s="8">
        <v>1.04E-2</v>
      </c>
      <c r="AF20" s="8">
        <v>0.78659999999999997</v>
      </c>
      <c r="AG20" s="8">
        <v>0.7621</v>
      </c>
      <c r="AH20" s="8">
        <v>0.81110000000000004</v>
      </c>
      <c r="AI20" s="8">
        <v>1.7600000000000001E-2</v>
      </c>
      <c r="AJ20" s="8">
        <v>0.61839999999999995</v>
      </c>
      <c r="AK20" s="8">
        <v>0.5897</v>
      </c>
      <c r="AL20" s="8">
        <v>0.6472</v>
      </c>
      <c r="AM20" s="8">
        <v>2.07E-2</v>
      </c>
    </row>
    <row r="21" spans="1:39" x14ac:dyDescent="0.25">
      <c r="A21" s="8" t="s">
        <v>124</v>
      </c>
      <c r="B21" s="8" t="s">
        <v>182</v>
      </c>
      <c r="C21" s="8">
        <v>5</v>
      </c>
      <c r="D21" s="8">
        <v>0.64100000000000001</v>
      </c>
      <c r="E21" s="8">
        <v>0.57569999999999999</v>
      </c>
      <c r="F21" s="8">
        <v>0.70630000000000004</v>
      </c>
      <c r="G21" s="8">
        <v>4.7E-2</v>
      </c>
      <c r="H21" s="8">
        <v>0.57840000000000003</v>
      </c>
      <c r="I21" s="8">
        <v>0.5484</v>
      </c>
      <c r="J21" s="8">
        <v>0.60840000000000005</v>
      </c>
      <c r="K21" s="8">
        <v>2.1600000000000001E-2</v>
      </c>
      <c r="L21" s="8">
        <v>0.57740000000000002</v>
      </c>
      <c r="M21" s="8">
        <v>0.55079999999999996</v>
      </c>
      <c r="N21" s="8">
        <v>0.60409999999999997</v>
      </c>
      <c r="O21" s="8">
        <v>1.9199999999999998E-2</v>
      </c>
      <c r="P21" s="8">
        <v>0.56589999999999996</v>
      </c>
      <c r="Q21" s="8">
        <v>0.52580000000000005</v>
      </c>
      <c r="R21" s="8">
        <v>0.60599999999999998</v>
      </c>
      <c r="S21" s="8">
        <v>2.8899999999999999E-2</v>
      </c>
      <c r="T21" s="8">
        <v>0.63680000000000003</v>
      </c>
      <c r="U21" s="8">
        <v>0.61609999999999998</v>
      </c>
      <c r="V21" s="8">
        <v>0.65739999999999998</v>
      </c>
      <c r="W21" s="8">
        <v>1.49E-2</v>
      </c>
      <c r="X21" s="8">
        <v>0.64100000000000001</v>
      </c>
      <c r="Y21" s="8">
        <v>0.57569999999999999</v>
      </c>
      <c r="Z21" s="8">
        <v>0.70630000000000004</v>
      </c>
      <c r="AA21" s="8">
        <v>4.7E-2</v>
      </c>
      <c r="AB21" s="8">
        <v>0.62680000000000002</v>
      </c>
      <c r="AC21" s="8">
        <v>0.57030000000000003</v>
      </c>
      <c r="AD21" s="8">
        <v>0.68330000000000002</v>
      </c>
      <c r="AE21" s="8">
        <v>4.07E-2</v>
      </c>
      <c r="AF21" s="8">
        <v>0.78249999999999997</v>
      </c>
      <c r="AG21" s="8">
        <v>0.74790000000000001</v>
      </c>
      <c r="AH21" s="8">
        <v>0.81699999999999995</v>
      </c>
      <c r="AI21" s="8">
        <v>2.4899999999999999E-2</v>
      </c>
      <c r="AJ21" s="8">
        <v>0.62739999999999996</v>
      </c>
      <c r="AK21" s="8">
        <v>0.59450000000000003</v>
      </c>
      <c r="AL21" s="8">
        <v>0.66020000000000001</v>
      </c>
      <c r="AM21" s="8">
        <v>2.3699999999999999E-2</v>
      </c>
    </row>
    <row r="22" spans="1:39" x14ac:dyDescent="0.25">
      <c r="A22" s="8" t="s">
        <v>133</v>
      </c>
      <c r="B22" s="8" t="s">
        <v>183</v>
      </c>
      <c r="C22" s="8">
        <v>5</v>
      </c>
      <c r="D22" s="8">
        <v>0.60589999999999999</v>
      </c>
      <c r="E22" s="8">
        <v>0.58169999999999999</v>
      </c>
      <c r="F22" s="8">
        <v>0.63</v>
      </c>
      <c r="G22" s="8">
        <v>1.7399999999999999E-2</v>
      </c>
      <c r="H22" s="8">
        <v>0.60309999999999997</v>
      </c>
      <c r="I22" s="8">
        <v>0.57499999999999996</v>
      </c>
      <c r="J22" s="8">
        <v>0.63109999999999999</v>
      </c>
      <c r="K22" s="8">
        <v>2.0199999999999999E-2</v>
      </c>
      <c r="L22" s="8">
        <v>0.57850000000000001</v>
      </c>
      <c r="M22" s="8">
        <v>0.54490000000000005</v>
      </c>
      <c r="N22" s="8">
        <v>0.61219999999999997</v>
      </c>
      <c r="O22" s="8">
        <v>2.4199999999999999E-2</v>
      </c>
      <c r="P22" s="8">
        <v>0.5786</v>
      </c>
      <c r="Q22" s="8">
        <v>0.5504</v>
      </c>
      <c r="R22" s="8">
        <v>0.60680000000000001</v>
      </c>
      <c r="S22" s="8">
        <v>2.0299999999999999E-2</v>
      </c>
      <c r="T22" s="8">
        <v>0.67169999999999996</v>
      </c>
      <c r="U22" s="8">
        <v>0.64419999999999999</v>
      </c>
      <c r="V22" s="8">
        <v>0.69920000000000004</v>
      </c>
      <c r="W22" s="8">
        <v>1.9800000000000002E-2</v>
      </c>
      <c r="X22" s="8">
        <v>0.60589999999999999</v>
      </c>
      <c r="Y22" s="8">
        <v>0.58169999999999999</v>
      </c>
      <c r="Z22" s="8">
        <v>0.63</v>
      </c>
      <c r="AA22" s="8">
        <v>1.7399999999999999E-2</v>
      </c>
      <c r="AB22" s="8">
        <v>0.62909999999999999</v>
      </c>
      <c r="AC22" s="8">
        <v>0.60509999999999997</v>
      </c>
      <c r="AD22" s="8">
        <v>0.65310000000000001</v>
      </c>
      <c r="AE22" s="8">
        <v>1.7299999999999999E-2</v>
      </c>
      <c r="AF22" s="8">
        <v>0.78010000000000002</v>
      </c>
      <c r="AG22" s="8">
        <v>0.75849999999999995</v>
      </c>
      <c r="AH22" s="8">
        <v>0.80169999999999997</v>
      </c>
      <c r="AI22" s="8">
        <v>1.5599999999999999E-2</v>
      </c>
      <c r="AJ22" s="8">
        <v>0.62129999999999996</v>
      </c>
      <c r="AK22" s="8">
        <v>0.59609999999999996</v>
      </c>
      <c r="AL22" s="8">
        <v>0.64649999999999996</v>
      </c>
      <c r="AM22" s="8">
        <v>1.8200000000000001E-2</v>
      </c>
    </row>
    <row r="23" spans="1:39" x14ac:dyDescent="0.25">
      <c r="A23" s="8" t="s">
        <v>124</v>
      </c>
      <c r="B23" s="8" t="s">
        <v>183</v>
      </c>
      <c r="C23" s="8">
        <v>5</v>
      </c>
      <c r="D23" s="8">
        <v>0.55810000000000004</v>
      </c>
      <c r="E23" s="8">
        <v>0.53200000000000003</v>
      </c>
      <c r="F23" s="8">
        <v>0.58430000000000004</v>
      </c>
      <c r="G23" s="8">
        <v>1.8800000000000001E-2</v>
      </c>
      <c r="H23" s="8">
        <v>0.58309999999999995</v>
      </c>
      <c r="I23" s="8">
        <v>0.56879999999999997</v>
      </c>
      <c r="J23" s="8">
        <v>0.59730000000000005</v>
      </c>
      <c r="K23" s="8">
        <v>1.03E-2</v>
      </c>
      <c r="L23" s="8">
        <v>0.5575</v>
      </c>
      <c r="M23" s="8">
        <v>0.53010000000000002</v>
      </c>
      <c r="N23" s="8">
        <v>0.58499999999999996</v>
      </c>
      <c r="O23" s="8">
        <v>1.9800000000000002E-2</v>
      </c>
      <c r="P23" s="8">
        <v>0.54320000000000002</v>
      </c>
      <c r="Q23" s="8">
        <v>0.52110000000000001</v>
      </c>
      <c r="R23" s="8">
        <v>0.56520000000000004</v>
      </c>
      <c r="S23" s="8">
        <v>1.5900000000000001E-2</v>
      </c>
      <c r="T23" s="8">
        <v>0.65239999999999998</v>
      </c>
      <c r="U23" s="8">
        <v>0.63790000000000002</v>
      </c>
      <c r="V23" s="8">
        <v>0.66690000000000005</v>
      </c>
      <c r="W23" s="8">
        <v>1.04E-2</v>
      </c>
      <c r="X23" s="8">
        <v>0.55810000000000004</v>
      </c>
      <c r="Y23" s="8">
        <v>0.53200000000000003</v>
      </c>
      <c r="Z23" s="8">
        <v>0.58430000000000004</v>
      </c>
      <c r="AA23" s="8">
        <v>1.8800000000000001E-2</v>
      </c>
      <c r="AB23" s="8">
        <v>0.5776</v>
      </c>
      <c r="AC23" s="8">
        <v>0.55589999999999995</v>
      </c>
      <c r="AD23" s="8">
        <v>0.59930000000000005</v>
      </c>
      <c r="AE23" s="8">
        <v>1.5599999999999999E-2</v>
      </c>
      <c r="AF23" s="8">
        <v>0.77410000000000001</v>
      </c>
      <c r="AG23" s="8">
        <v>0.74919999999999998</v>
      </c>
      <c r="AH23" s="8">
        <v>0.79910000000000003</v>
      </c>
      <c r="AI23" s="8">
        <v>1.7999999999999999E-2</v>
      </c>
      <c r="AJ23" s="8">
        <v>0.62370000000000003</v>
      </c>
      <c r="AK23" s="8">
        <v>0.59950000000000003</v>
      </c>
      <c r="AL23" s="8">
        <v>0.64780000000000004</v>
      </c>
      <c r="AM23" s="8">
        <v>1.7399999999999999E-2</v>
      </c>
    </row>
    <row r="24" spans="1:39" x14ac:dyDescent="0.25">
      <c r="A24" s="8" t="s">
        <v>164</v>
      </c>
      <c r="B24" s="8" t="s">
        <v>183</v>
      </c>
      <c r="C24" s="8">
        <v>5</v>
      </c>
      <c r="D24" s="8">
        <v>0.5766</v>
      </c>
      <c r="E24" s="8">
        <v>0.53920000000000001</v>
      </c>
      <c r="F24" s="8">
        <v>0.61399999999999999</v>
      </c>
      <c r="G24" s="8">
        <v>2.69E-2</v>
      </c>
      <c r="H24" s="8">
        <v>0.60070000000000001</v>
      </c>
      <c r="I24" s="8">
        <v>0.56569999999999998</v>
      </c>
      <c r="J24" s="8">
        <v>0.63560000000000005</v>
      </c>
      <c r="K24" s="8">
        <v>2.52E-2</v>
      </c>
      <c r="L24" s="8">
        <v>0.56569999999999998</v>
      </c>
      <c r="M24" s="8">
        <v>0.52629999999999999</v>
      </c>
      <c r="N24" s="8">
        <v>0.60499999999999998</v>
      </c>
      <c r="O24" s="8">
        <v>2.8299999999999999E-2</v>
      </c>
      <c r="P24" s="8">
        <v>0.55879999999999996</v>
      </c>
      <c r="Q24" s="8">
        <v>0.52700000000000002</v>
      </c>
      <c r="R24" s="8">
        <v>0.59060000000000001</v>
      </c>
      <c r="S24" s="8">
        <v>2.29E-2</v>
      </c>
      <c r="T24" s="8">
        <v>0.66790000000000005</v>
      </c>
      <c r="U24" s="8">
        <v>0.63319999999999999</v>
      </c>
      <c r="V24" s="8">
        <v>0.70250000000000001</v>
      </c>
      <c r="W24" s="8">
        <v>2.5000000000000001E-2</v>
      </c>
      <c r="X24" s="8">
        <v>0.5766</v>
      </c>
      <c r="Y24" s="8">
        <v>0.53920000000000001</v>
      </c>
      <c r="Z24" s="8">
        <v>0.61399999999999999</v>
      </c>
      <c r="AA24" s="8">
        <v>2.69E-2</v>
      </c>
      <c r="AB24" s="8">
        <v>0.60240000000000005</v>
      </c>
      <c r="AC24" s="8">
        <v>0.57099999999999995</v>
      </c>
      <c r="AD24" s="8">
        <v>0.63390000000000002</v>
      </c>
      <c r="AE24" s="8">
        <v>2.2700000000000001E-2</v>
      </c>
      <c r="AF24" s="8">
        <v>0.76929999999999998</v>
      </c>
      <c r="AG24" s="8">
        <v>0.74339999999999995</v>
      </c>
      <c r="AH24" s="8">
        <v>0.79520000000000002</v>
      </c>
      <c r="AI24" s="8">
        <v>1.8700000000000001E-2</v>
      </c>
      <c r="AJ24" s="8">
        <v>0.61009999999999998</v>
      </c>
      <c r="AK24" s="8">
        <v>0.57979999999999998</v>
      </c>
      <c r="AL24" s="8">
        <v>0.64029999999999998</v>
      </c>
      <c r="AM24" s="8">
        <v>2.18E-2</v>
      </c>
    </row>
    <row r="25" spans="1:39" x14ac:dyDescent="0.25">
      <c r="A25" s="8" t="s">
        <v>134</v>
      </c>
      <c r="B25" s="8" t="s">
        <v>183</v>
      </c>
      <c r="C25" s="8">
        <v>5</v>
      </c>
      <c r="D25" s="8">
        <v>0.54139999999999999</v>
      </c>
      <c r="E25" s="8">
        <v>0.52600000000000002</v>
      </c>
      <c r="F25" s="8">
        <v>0.55679999999999996</v>
      </c>
      <c r="G25" s="8">
        <v>1.11E-2</v>
      </c>
      <c r="H25" s="8">
        <v>0.54339999999999999</v>
      </c>
      <c r="I25" s="8">
        <v>0.53110000000000002</v>
      </c>
      <c r="J25" s="8">
        <v>0.55569999999999997</v>
      </c>
      <c r="K25" s="8">
        <v>8.8000000000000005E-3</v>
      </c>
      <c r="L25" s="8">
        <v>0.52290000000000003</v>
      </c>
      <c r="M25" s="8">
        <v>0.5111</v>
      </c>
      <c r="N25" s="8">
        <v>0.53469999999999995</v>
      </c>
      <c r="O25" s="8">
        <v>8.5000000000000006E-3</v>
      </c>
      <c r="P25" s="8">
        <v>0.52090000000000003</v>
      </c>
      <c r="Q25" s="8">
        <v>0.5081</v>
      </c>
      <c r="R25" s="8">
        <v>0.53369999999999995</v>
      </c>
      <c r="S25" s="8">
        <v>9.1999999999999998E-3</v>
      </c>
      <c r="T25" s="8">
        <v>0.60540000000000005</v>
      </c>
      <c r="U25" s="8">
        <v>0.59040000000000004</v>
      </c>
      <c r="V25" s="8">
        <v>0.62039999999999995</v>
      </c>
      <c r="W25" s="8">
        <v>1.0800000000000001E-2</v>
      </c>
      <c r="X25" s="8">
        <v>0.54139999999999999</v>
      </c>
      <c r="Y25" s="8">
        <v>0.52600000000000002</v>
      </c>
      <c r="Z25" s="8">
        <v>0.55679999999999996</v>
      </c>
      <c r="AA25" s="8">
        <v>1.11E-2</v>
      </c>
      <c r="AB25" s="8">
        <v>0.56320000000000003</v>
      </c>
      <c r="AC25" s="8">
        <v>0.54749999999999999</v>
      </c>
      <c r="AD25" s="8">
        <v>0.57879999999999998</v>
      </c>
      <c r="AE25" s="8">
        <v>1.1299999999999999E-2</v>
      </c>
      <c r="AF25" s="8">
        <v>0.73670000000000002</v>
      </c>
      <c r="AG25" s="8">
        <v>0.72030000000000005</v>
      </c>
      <c r="AH25" s="8">
        <v>0.75309999999999999</v>
      </c>
      <c r="AI25" s="8">
        <v>1.18E-2</v>
      </c>
      <c r="AJ25" s="8">
        <v>0.57909999999999995</v>
      </c>
      <c r="AK25" s="8">
        <v>0.56120000000000003</v>
      </c>
      <c r="AL25" s="8">
        <v>0.59689999999999999</v>
      </c>
      <c r="AM25" s="8">
        <v>1.29E-2</v>
      </c>
    </row>
    <row r="26" spans="1:39" x14ac:dyDescent="0.25">
      <c r="A26" s="8" t="s">
        <v>254</v>
      </c>
      <c r="B26" s="8" t="s">
        <v>182</v>
      </c>
      <c r="C26" s="8">
        <v>5</v>
      </c>
      <c r="D26" s="8">
        <v>0.72550000000000003</v>
      </c>
      <c r="E26" s="8">
        <v>0.71060000000000001</v>
      </c>
      <c r="F26" s="8">
        <v>0.74050000000000005</v>
      </c>
      <c r="G26" s="8">
        <v>1.0800000000000001E-2</v>
      </c>
      <c r="H26" s="8">
        <v>0.65239999999999998</v>
      </c>
      <c r="I26" s="8">
        <v>0.60319999999999996</v>
      </c>
      <c r="J26" s="8">
        <v>0.70150000000000001</v>
      </c>
      <c r="K26" s="8">
        <v>3.5400000000000001E-2</v>
      </c>
      <c r="L26" s="8">
        <v>0.62649999999999995</v>
      </c>
      <c r="M26" s="8">
        <v>0.6069</v>
      </c>
      <c r="N26" s="8">
        <v>0.64610000000000001</v>
      </c>
      <c r="O26" s="8">
        <v>1.41E-2</v>
      </c>
      <c r="P26" s="8">
        <v>0.6179</v>
      </c>
      <c r="Q26" s="8">
        <v>0.58960000000000001</v>
      </c>
      <c r="R26" s="8">
        <v>0.64629999999999999</v>
      </c>
      <c r="S26" s="8">
        <v>2.0400000000000001E-2</v>
      </c>
      <c r="T26" s="8">
        <v>0.69510000000000005</v>
      </c>
      <c r="U26" s="8">
        <v>0.66290000000000004</v>
      </c>
      <c r="V26" s="8">
        <v>0.72729999999999995</v>
      </c>
      <c r="W26" s="8">
        <v>2.3199999999999998E-2</v>
      </c>
      <c r="X26" s="8">
        <v>0.72550000000000003</v>
      </c>
      <c r="Y26" s="8">
        <v>0.71060000000000001</v>
      </c>
      <c r="Z26" s="8">
        <v>0.74050000000000005</v>
      </c>
      <c r="AA26" s="8">
        <v>1.0800000000000001E-2</v>
      </c>
      <c r="AB26" s="8">
        <v>0.69399999999999995</v>
      </c>
      <c r="AC26" s="8">
        <v>0.67490000000000006</v>
      </c>
      <c r="AD26" s="8">
        <v>0.71299999999999997</v>
      </c>
      <c r="AE26" s="8">
        <v>1.37E-2</v>
      </c>
      <c r="AF26" s="8">
        <v>0.82310000000000005</v>
      </c>
      <c r="AG26" s="8">
        <v>0.79559999999999997</v>
      </c>
      <c r="AH26" s="8">
        <v>0.85060000000000002</v>
      </c>
      <c r="AI26" s="8">
        <v>1.9800000000000002E-2</v>
      </c>
      <c r="AJ26" s="8">
        <v>0.68159999999999998</v>
      </c>
      <c r="AK26" s="8">
        <v>0.64090000000000003</v>
      </c>
      <c r="AL26" s="8">
        <v>0.72230000000000005</v>
      </c>
      <c r="AM26" s="8">
        <v>2.93E-2</v>
      </c>
    </row>
    <row r="27" spans="1:39" x14ac:dyDescent="0.25">
      <c r="A27" s="8" t="s">
        <v>254</v>
      </c>
      <c r="B27" s="8" t="s">
        <v>184</v>
      </c>
      <c r="C27" s="8">
        <v>5</v>
      </c>
      <c r="D27" s="8">
        <v>0.72130000000000005</v>
      </c>
      <c r="E27" s="8">
        <v>0.69740000000000002</v>
      </c>
      <c r="F27" s="8">
        <v>0.74529999999999996</v>
      </c>
      <c r="G27" s="8">
        <v>1.7299999999999999E-2</v>
      </c>
      <c r="H27" s="8">
        <v>0.62509999999999999</v>
      </c>
      <c r="I27" s="8">
        <v>0.54700000000000004</v>
      </c>
      <c r="J27" s="8">
        <v>0.70330000000000004</v>
      </c>
      <c r="K27" s="8">
        <v>5.6300000000000003E-2</v>
      </c>
      <c r="L27" s="8">
        <v>0.61180000000000001</v>
      </c>
      <c r="M27" s="8">
        <v>0.58030000000000004</v>
      </c>
      <c r="N27" s="8">
        <v>0.64329999999999998</v>
      </c>
      <c r="O27" s="8">
        <v>2.2700000000000001E-2</v>
      </c>
      <c r="P27" s="8">
        <v>0.5877</v>
      </c>
      <c r="Q27" s="8">
        <v>0.54110000000000003</v>
      </c>
      <c r="R27" s="8">
        <v>0.63419999999999999</v>
      </c>
      <c r="S27" s="8">
        <v>3.3500000000000002E-2</v>
      </c>
      <c r="T27" s="8">
        <v>0.67220000000000002</v>
      </c>
      <c r="U27" s="8">
        <v>0.61939999999999995</v>
      </c>
      <c r="V27" s="8">
        <v>0.72499999999999998</v>
      </c>
      <c r="W27" s="8">
        <v>3.7999999999999999E-2</v>
      </c>
      <c r="X27" s="8">
        <v>0.72130000000000005</v>
      </c>
      <c r="Y27" s="8">
        <v>0.69740000000000002</v>
      </c>
      <c r="Z27" s="8">
        <v>0.74529999999999996</v>
      </c>
      <c r="AA27" s="8">
        <v>1.7299999999999999E-2</v>
      </c>
      <c r="AB27" s="8">
        <v>0.67469999999999997</v>
      </c>
      <c r="AC27" s="8">
        <v>0.64229999999999998</v>
      </c>
      <c r="AD27" s="8">
        <v>0.70699999999999996</v>
      </c>
      <c r="AE27" s="8">
        <v>2.3300000000000001E-2</v>
      </c>
      <c r="AF27" s="8">
        <v>0.81430000000000002</v>
      </c>
      <c r="AG27" s="8">
        <v>0.78139999999999998</v>
      </c>
      <c r="AH27" s="8">
        <v>0.84719999999999995</v>
      </c>
      <c r="AI27" s="8">
        <v>2.3699999999999999E-2</v>
      </c>
      <c r="AJ27" s="8">
        <v>0.66500000000000004</v>
      </c>
      <c r="AK27" s="8">
        <v>0.61429999999999996</v>
      </c>
      <c r="AL27" s="8">
        <v>0.7157</v>
      </c>
      <c r="AM27" s="8">
        <v>3.6499999999999998E-2</v>
      </c>
    </row>
    <row r="28" spans="1:39" x14ac:dyDescent="0.25">
      <c r="A28" s="8" t="s">
        <v>253</v>
      </c>
      <c r="B28" s="8" t="s">
        <v>182</v>
      </c>
      <c r="C28" s="8">
        <v>5</v>
      </c>
      <c r="D28" s="8">
        <v>0.71630000000000005</v>
      </c>
      <c r="E28" s="8">
        <v>0.67859999999999998</v>
      </c>
      <c r="F28" s="8">
        <v>0.754</v>
      </c>
      <c r="G28" s="8">
        <v>2.7199999999999998E-2</v>
      </c>
      <c r="H28" s="8">
        <v>0.64</v>
      </c>
      <c r="I28" s="8">
        <v>0.56840000000000002</v>
      </c>
      <c r="J28" s="8">
        <v>0.71160000000000001</v>
      </c>
      <c r="K28" s="8">
        <v>5.16E-2</v>
      </c>
      <c r="L28" s="8">
        <v>0.61809999999999998</v>
      </c>
      <c r="M28" s="8">
        <v>0.5766</v>
      </c>
      <c r="N28" s="8">
        <v>0.65959999999999996</v>
      </c>
      <c r="O28" s="8">
        <v>2.9899999999999999E-2</v>
      </c>
      <c r="P28" s="8">
        <v>0.60699999999999998</v>
      </c>
      <c r="Q28" s="8">
        <v>0.55969999999999998</v>
      </c>
      <c r="R28" s="8">
        <v>0.65439999999999998</v>
      </c>
      <c r="S28" s="8">
        <v>3.4099999999999998E-2</v>
      </c>
      <c r="T28" s="8">
        <v>0.68359999999999999</v>
      </c>
      <c r="U28" s="8">
        <v>0.63129999999999997</v>
      </c>
      <c r="V28" s="8">
        <v>0.73599999999999999</v>
      </c>
      <c r="W28" s="8">
        <v>3.7699999999999997E-2</v>
      </c>
      <c r="X28" s="8">
        <v>0.71630000000000005</v>
      </c>
      <c r="Y28" s="8">
        <v>0.67859999999999998</v>
      </c>
      <c r="Z28" s="8">
        <v>0.754</v>
      </c>
      <c r="AA28" s="8">
        <v>2.7199999999999998E-2</v>
      </c>
      <c r="AB28" s="8">
        <v>0.68400000000000005</v>
      </c>
      <c r="AC28" s="8">
        <v>0.64390000000000003</v>
      </c>
      <c r="AD28" s="8">
        <v>0.72409999999999997</v>
      </c>
      <c r="AE28" s="8">
        <v>2.8899999999999999E-2</v>
      </c>
      <c r="AF28" s="8">
        <v>0.81120000000000003</v>
      </c>
      <c r="AG28" s="8">
        <v>0.77829999999999999</v>
      </c>
      <c r="AH28" s="8">
        <v>0.84399999999999997</v>
      </c>
      <c r="AI28" s="8">
        <v>2.3599999999999999E-2</v>
      </c>
      <c r="AJ28" s="8">
        <v>0.66110000000000002</v>
      </c>
      <c r="AK28" s="8">
        <v>0.62150000000000005</v>
      </c>
      <c r="AL28" s="8">
        <v>0.7006</v>
      </c>
      <c r="AM28" s="8">
        <v>2.8500000000000001E-2</v>
      </c>
    </row>
    <row r="29" spans="1:39" x14ac:dyDescent="0.25">
      <c r="A29" s="8" t="s">
        <v>253</v>
      </c>
      <c r="B29" s="8" t="s">
        <v>184</v>
      </c>
      <c r="C29" s="8">
        <v>5</v>
      </c>
      <c r="D29" s="8">
        <v>0.71799999999999997</v>
      </c>
      <c r="E29" s="8">
        <v>0.70169999999999999</v>
      </c>
      <c r="F29" s="8">
        <v>0.73419999999999996</v>
      </c>
      <c r="G29" s="8">
        <v>1.17E-2</v>
      </c>
      <c r="H29" s="8">
        <v>0.625</v>
      </c>
      <c r="I29" s="8">
        <v>0.59509999999999996</v>
      </c>
      <c r="J29" s="8">
        <v>0.65480000000000005</v>
      </c>
      <c r="K29" s="8">
        <v>2.1499999999999998E-2</v>
      </c>
      <c r="L29" s="8">
        <v>0.61019999999999996</v>
      </c>
      <c r="M29" s="8">
        <v>0.59140000000000004</v>
      </c>
      <c r="N29" s="8">
        <v>0.62909999999999999</v>
      </c>
      <c r="O29" s="8">
        <v>1.3599999999999999E-2</v>
      </c>
      <c r="P29" s="8">
        <v>0.58850000000000002</v>
      </c>
      <c r="Q29" s="8">
        <v>0.56420000000000003</v>
      </c>
      <c r="R29" s="8">
        <v>0.61280000000000001</v>
      </c>
      <c r="S29" s="8">
        <v>1.7500000000000002E-2</v>
      </c>
      <c r="T29" s="8">
        <v>0.67210000000000003</v>
      </c>
      <c r="U29" s="8">
        <v>0.64929999999999999</v>
      </c>
      <c r="V29" s="8">
        <v>0.69489999999999996</v>
      </c>
      <c r="W29" s="8">
        <v>1.6400000000000001E-2</v>
      </c>
      <c r="X29" s="8">
        <v>0.71799999999999997</v>
      </c>
      <c r="Y29" s="8">
        <v>0.70169999999999999</v>
      </c>
      <c r="Z29" s="8">
        <v>0.73419999999999996</v>
      </c>
      <c r="AA29" s="8">
        <v>1.17E-2</v>
      </c>
      <c r="AB29" s="8">
        <v>0.67420000000000002</v>
      </c>
      <c r="AC29" s="8">
        <v>0.65539999999999998</v>
      </c>
      <c r="AD29" s="8">
        <v>0.69299999999999995</v>
      </c>
      <c r="AE29" s="8">
        <v>1.3599999999999999E-2</v>
      </c>
      <c r="AF29" s="8">
        <v>0.80520000000000003</v>
      </c>
      <c r="AG29" s="8">
        <v>0.77200000000000002</v>
      </c>
      <c r="AH29" s="8">
        <v>0.83840000000000003</v>
      </c>
      <c r="AI29" s="8">
        <v>2.3900000000000001E-2</v>
      </c>
      <c r="AJ29" s="8">
        <v>0.6522</v>
      </c>
      <c r="AK29" s="8">
        <v>0.61350000000000005</v>
      </c>
      <c r="AL29" s="8">
        <v>0.69099999999999995</v>
      </c>
      <c r="AM29" s="8">
        <v>2.7900000000000001E-2</v>
      </c>
    </row>
    <row r="30" spans="1:39" x14ac:dyDescent="0.25">
      <c r="A30" s="8" t="s">
        <v>254</v>
      </c>
      <c r="B30" s="8" t="s">
        <v>183</v>
      </c>
      <c r="C30" s="8">
        <v>5</v>
      </c>
      <c r="D30" s="8">
        <v>0.626</v>
      </c>
      <c r="E30" s="8">
        <v>0.59099999999999997</v>
      </c>
      <c r="F30" s="8">
        <v>0.66090000000000004</v>
      </c>
      <c r="G30" s="8">
        <v>2.52E-2</v>
      </c>
      <c r="H30" s="8">
        <v>0.61160000000000003</v>
      </c>
      <c r="I30" s="8">
        <v>0.58289999999999997</v>
      </c>
      <c r="J30" s="8">
        <v>0.64019999999999999</v>
      </c>
      <c r="K30" s="8">
        <v>2.07E-2</v>
      </c>
      <c r="L30" s="8">
        <v>0.59309999999999996</v>
      </c>
      <c r="M30" s="8">
        <v>0.55669999999999997</v>
      </c>
      <c r="N30" s="8">
        <v>0.62939999999999996</v>
      </c>
      <c r="O30" s="8">
        <v>2.6200000000000001E-2</v>
      </c>
      <c r="P30" s="8">
        <v>0.59409999999999996</v>
      </c>
      <c r="Q30" s="8">
        <v>0.56069999999999998</v>
      </c>
      <c r="R30" s="8">
        <v>0.62739999999999996</v>
      </c>
      <c r="S30" s="8">
        <v>2.4E-2</v>
      </c>
      <c r="T30" s="8">
        <v>0.67879999999999996</v>
      </c>
      <c r="U30" s="8">
        <v>0.64710000000000001</v>
      </c>
      <c r="V30" s="8">
        <v>0.71050000000000002</v>
      </c>
      <c r="W30" s="8">
        <v>2.2800000000000001E-2</v>
      </c>
      <c r="X30" s="8">
        <v>0.626</v>
      </c>
      <c r="Y30" s="8">
        <v>0.59099999999999997</v>
      </c>
      <c r="Z30" s="8">
        <v>0.66090000000000004</v>
      </c>
      <c r="AA30" s="8">
        <v>2.52E-2</v>
      </c>
      <c r="AB30" s="8">
        <v>0.64559999999999995</v>
      </c>
      <c r="AC30" s="8">
        <v>0.61160000000000003</v>
      </c>
      <c r="AD30" s="8">
        <v>0.67969999999999997</v>
      </c>
      <c r="AE30" s="8">
        <v>2.4500000000000001E-2</v>
      </c>
      <c r="AF30" s="8">
        <v>0.79479999999999995</v>
      </c>
      <c r="AG30" s="8">
        <v>0.75919999999999999</v>
      </c>
      <c r="AH30" s="8">
        <v>0.83050000000000002</v>
      </c>
      <c r="AI30" s="8">
        <v>2.5700000000000001E-2</v>
      </c>
      <c r="AJ30" s="8">
        <v>0.64470000000000005</v>
      </c>
      <c r="AK30" s="8">
        <v>0.59830000000000005</v>
      </c>
      <c r="AL30" s="8">
        <v>0.69110000000000005</v>
      </c>
      <c r="AM30" s="8">
        <v>3.3399999999999999E-2</v>
      </c>
    </row>
    <row r="31" spans="1:39" x14ac:dyDescent="0.25">
      <c r="A31" s="8" t="s">
        <v>253</v>
      </c>
      <c r="B31" s="8" t="s">
        <v>183</v>
      </c>
      <c r="C31" s="8">
        <v>5</v>
      </c>
      <c r="D31" s="8">
        <v>0.61839999999999995</v>
      </c>
      <c r="E31" s="8">
        <v>0.57120000000000004</v>
      </c>
      <c r="F31" s="8">
        <v>0.66559999999999997</v>
      </c>
      <c r="G31" s="8">
        <v>3.4000000000000002E-2</v>
      </c>
      <c r="H31" s="8">
        <v>0.59419999999999995</v>
      </c>
      <c r="I31" s="8">
        <v>0.54339999999999999</v>
      </c>
      <c r="J31" s="8">
        <v>0.64500000000000002</v>
      </c>
      <c r="K31" s="8">
        <v>3.6600000000000001E-2</v>
      </c>
      <c r="L31" s="8">
        <v>0.58050000000000002</v>
      </c>
      <c r="M31" s="8">
        <v>0.52629999999999999</v>
      </c>
      <c r="N31" s="8">
        <v>0.63460000000000005</v>
      </c>
      <c r="O31" s="8">
        <v>3.9E-2</v>
      </c>
      <c r="P31" s="8">
        <v>0.58169999999999999</v>
      </c>
      <c r="Q31" s="8">
        <v>0.53080000000000005</v>
      </c>
      <c r="R31" s="8">
        <v>0.63270000000000004</v>
      </c>
      <c r="S31" s="8">
        <v>3.6700000000000003E-2</v>
      </c>
      <c r="T31" s="8">
        <v>0.66100000000000003</v>
      </c>
      <c r="U31" s="8">
        <v>0.61240000000000006</v>
      </c>
      <c r="V31" s="8">
        <v>0.70960000000000001</v>
      </c>
      <c r="W31" s="8">
        <v>3.5000000000000003E-2</v>
      </c>
      <c r="X31" s="8">
        <v>0.61839999999999995</v>
      </c>
      <c r="Y31" s="8">
        <v>0.57120000000000004</v>
      </c>
      <c r="Z31" s="8">
        <v>0.66559999999999997</v>
      </c>
      <c r="AA31" s="8">
        <v>3.4000000000000002E-2</v>
      </c>
      <c r="AB31" s="8">
        <v>0.63529999999999998</v>
      </c>
      <c r="AC31" s="8">
        <v>0.58860000000000001</v>
      </c>
      <c r="AD31" s="8">
        <v>0.68189999999999995</v>
      </c>
      <c r="AE31" s="8">
        <v>3.3599999999999998E-2</v>
      </c>
      <c r="AF31" s="8">
        <v>0.78600000000000003</v>
      </c>
      <c r="AG31" s="8">
        <v>0.74150000000000005</v>
      </c>
      <c r="AH31" s="8">
        <v>0.8306</v>
      </c>
      <c r="AI31" s="8">
        <v>3.2099999999999997E-2</v>
      </c>
      <c r="AJ31" s="8">
        <v>0.63019999999999998</v>
      </c>
      <c r="AK31" s="8">
        <v>0.57269999999999999</v>
      </c>
      <c r="AL31" s="8">
        <v>0.68759999999999999</v>
      </c>
      <c r="AM31" s="8">
        <v>4.1399999999999999E-2</v>
      </c>
    </row>
    <row r="32" spans="1:39" x14ac:dyDescent="0.25">
      <c r="A32" s="8"/>
      <c r="B32" s="8"/>
      <c r="C32" s="8"/>
      <c r="D32" s="8"/>
      <c r="E32" s="12"/>
      <c r="F32" s="8"/>
      <c r="G32" s="8"/>
      <c r="H32" s="8"/>
      <c r="I32" s="12"/>
      <c r="J32" s="8"/>
      <c r="K32" s="8"/>
      <c r="L32" s="8"/>
      <c r="M32" s="12"/>
      <c r="N32" s="8"/>
      <c r="O32" s="8"/>
      <c r="P32" s="8"/>
      <c r="Q32" s="12"/>
      <c r="R32" s="8"/>
      <c r="S32" s="8"/>
      <c r="T32" s="8"/>
      <c r="U32" s="12"/>
    </row>
    <row r="33" spans="1:23" x14ac:dyDescent="0.25">
      <c r="A33" s="8"/>
      <c r="B33" s="8"/>
      <c r="C33" s="8"/>
      <c r="D33" s="8"/>
      <c r="E33" s="12"/>
      <c r="F33" s="8"/>
      <c r="G33" s="8"/>
      <c r="H33" s="8"/>
      <c r="I33" s="12"/>
      <c r="J33" s="8"/>
      <c r="K33" s="8"/>
      <c r="L33" s="8"/>
      <c r="M33" s="12"/>
      <c r="N33" s="8"/>
      <c r="O33" s="8"/>
      <c r="P33" s="8"/>
      <c r="Q33" s="12"/>
      <c r="R33" s="8"/>
      <c r="S33" s="8"/>
      <c r="T33" s="8"/>
      <c r="U33" s="12"/>
    </row>
    <row r="34" spans="1:23" x14ac:dyDescent="0.25">
      <c r="A34" s="8"/>
      <c r="B34" s="8"/>
      <c r="C34" s="8"/>
      <c r="D34" s="8"/>
      <c r="E34" s="12"/>
      <c r="F34" s="8"/>
      <c r="G34" s="8"/>
      <c r="H34" s="8"/>
      <c r="I34" s="12"/>
      <c r="J34" s="8"/>
      <c r="K34" s="8"/>
      <c r="L34" s="8"/>
      <c r="M34" s="12"/>
      <c r="N34" s="8"/>
      <c r="O34" s="8"/>
      <c r="P34" s="8"/>
      <c r="Q34" s="12"/>
      <c r="R34" s="8"/>
      <c r="S34" s="8"/>
      <c r="T34" s="8"/>
      <c r="U34" s="12"/>
    </row>
    <row r="35" spans="1:23" x14ac:dyDescent="0.25">
      <c r="A35" s="8"/>
      <c r="B35" s="8"/>
      <c r="C35" s="8"/>
      <c r="D35" s="8"/>
      <c r="E35" s="12"/>
      <c r="F35" s="8"/>
      <c r="G35" s="8"/>
      <c r="H35" s="8"/>
      <c r="I35" s="12"/>
      <c r="J35" s="8"/>
      <c r="K35" s="8"/>
      <c r="L35" s="8"/>
      <c r="M35" s="12"/>
      <c r="N35" s="8"/>
      <c r="O35" s="8"/>
      <c r="P35" s="8"/>
      <c r="Q35" s="12"/>
      <c r="R35" s="8"/>
      <c r="S35" s="8"/>
      <c r="T35" s="8"/>
      <c r="U35" s="12"/>
    </row>
    <row r="36" spans="1:23" x14ac:dyDescent="0.25">
      <c r="A36" s="8"/>
      <c r="B36" s="8"/>
      <c r="C36" s="8"/>
      <c r="D36" s="8"/>
      <c r="E36" s="12"/>
      <c r="F36" s="8"/>
      <c r="G36" s="8"/>
      <c r="H36" s="8"/>
      <c r="I36" s="12"/>
      <c r="J36" s="8"/>
      <c r="K36" s="8"/>
      <c r="L36" s="8"/>
      <c r="M36" s="12"/>
      <c r="N36" s="8"/>
      <c r="O36" s="8"/>
      <c r="P36" s="8"/>
      <c r="Q36" s="12"/>
      <c r="R36" s="8"/>
      <c r="S36" s="8"/>
      <c r="T36" s="8"/>
      <c r="U36" s="12"/>
      <c r="W36" s="8"/>
    </row>
    <row r="37" spans="1:23" x14ac:dyDescent="0.25">
      <c r="A37" s="8"/>
      <c r="B37" s="8"/>
      <c r="C37" s="8"/>
      <c r="D37" s="8"/>
      <c r="E37" s="12"/>
      <c r="F37" s="8"/>
      <c r="G37" s="8"/>
      <c r="H37" s="8"/>
      <c r="I37" s="12"/>
      <c r="J37" s="8"/>
      <c r="K37" s="8"/>
      <c r="L37" s="8"/>
      <c r="M37" s="12"/>
      <c r="N37" s="8"/>
      <c r="O37" s="8"/>
      <c r="P37" s="8"/>
      <c r="Q37" s="12"/>
      <c r="R37" s="8"/>
      <c r="S37" s="8"/>
      <c r="T37" s="8"/>
      <c r="U37" s="12"/>
      <c r="W37" s="8"/>
    </row>
    <row r="38" spans="1:23" x14ac:dyDescent="0.25">
      <c r="A38" s="8"/>
      <c r="B38" s="8"/>
      <c r="C38" s="8"/>
      <c r="D38" s="8"/>
      <c r="E38" s="12"/>
      <c r="F38" s="8"/>
      <c r="G38" s="8"/>
      <c r="H38" s="8"/>
      <c r="I38" s="12"/>
      <c r="J38" s="8"/>
      <c r="K38" s="8"/>
      <c r="L38" s="8"/>
      <c r="M38" s="12"/>
      <c r="N38" s="8"/>
      <c r="O38" s="8"/>
      <c r="P38" s="8"/>
      <c r="Q38" s="12"/>
      <c r="R38" s="8"/>
      <c r="S38" s="8"/>
      <c r="T38" s="8"/>
      <c r="U38" s="12"/>
      <c r="W38" s="8"/>
    </row>
    <row r="39" spans="1:23" x14ac:dyDescent="0.25">
      <c r="A39" s="8"/>
      <c r="B39" s="8"/>
      <c r="C39" s="8"/>
      <c r="D39" s="8"/>
      <c r="E39" s="12"/>
      <c r="F39" s="8"/>
      <c r="G39" s="8"/>
      <c r="H39" s="8"/>
      <c r="I39" s="12"/>
      <c r="J39" s="8"/>
      <c r="K39" s="8"/>
      <c r="L39" s="8"/>
      <c r="M39" s="12"/>
      <c r="N39" s="8"/>
      <c r="O39" s="8"/>
      <c r="P39" s="8"/>
      <c r="Q39" s="12"/>
      <c r="R39" s="8"/>
      <c r="S39" s="8"/>
      <c r="T39" s="8"/>
      <c r="U39" s="12"/>
      <c r="W39" s="8"/>
    </row>
    <row r="40" spans="1:23" x14ac:dyDescent="0.25">
      <c r="A40" s="8"/>
      <c r="B40" s="8"/>
      <c r="C40" s="8"/>
      <c r="D40" s="8"/>
      <c r="E40" s="12"/>
      <c r="F40" s="8"/>
      <c r="G40" s="8"/>
      <c r="H40" s="8"/>
      <c r="I40" s="12"/>
      <c r="J40" s="8"/>
      <c r="K40" s="8"/>
      <c r="L40" s="8"/>
      <c r="M40" s="12"/>
      <c r="N40" s="8"/>
      <c r="O40" s="8"/>
      <c r="P40" s="8"/>
      <c r="Q40" s="12"/>
      <c r="R40" s="8"/>
      <c r="S40" s="8"/>
      <c r="T40" s="8"/>
      <c r="U40" s="12"/>
      <c r="W40" s="8"/>
    </row>
    <row r="41" spans="1:23" x14ac:dyDescent="0.25">
      <c r="A41" s="8"/>
      <c r="B41" s="8"/>
      <c r="C41" s="8"/>
      <c r="D41" s="8"/>
      <c r="E41" s="12"/>
      <c r="F41" s="8"/>
      <c r="G41" s="8"/>
      <c r="H41" s="8"/>
      <c r="I41" s="12"/>
      <c r="J41" s="8"/>
      <c r="K41" s="8"/>
      <c r="L41" s="8"/>
      <c r="M41" s="12"/>
      <c r="N41" s="8"/>
      <c r="O41" s="8"/>
      <c r="P41" s="8"/>
      <c r="Q41" s="12"/>
      <c r="R41" s="8"/>
      <c r="S41" s="8"/>
      <c r="T41" s="8"/>
      <c r="U41" s="12"/>
      <c r="W41" s="8"/>
    </row>
    <row r="42" spans="1:23" x14ac:dyDescent="0.25">
      <c r="A42" s="8"/>
      <c r="B42" s="8"/>
      <c r="C42" s="8"/>
      <c r="D42" s="8"/>
      <c r="E42" s="12"/>
      <c r="F42" s="8"/>
      <c r="G42" s="8"/>
      <c r="H42" s="8"/>
      <c r="I42" s="12"/>
      <c r="J42" s="8"/>
      <c r="K42" s="8"/>
      <c r="L42" s="8"/>
      <c r="M42" s="12"/>
      <c r="N42" s="8"/>
      <c r="O42" s="8"/>
      <c r="P42" s="8"/>
      <c r="Q42" s="12"/>
      <c r="R42" s="8"/>
      <c r="S42" s="8"/>
      <c r="T42" s="8"/>
      <c r="U42" s="12"/>
      <c r="W42" s="8"/>
    </row>
    <row r="43" spans="1:23" x14ac:dyDescent="0.25">
      <c r="A43" s="8"/>
      <c r="B43" s="8"/>
      <c r="C43" s="8"/>
      <c r="D43" s="8"/>
      <c r="E43" s="12"/>
      <c r="F43" s="8"/>
      <c r="G43" s="8"/>
      <c r="H43" s="8"/>
      <c r="I43" s="12"/>
      <c r="J43" s="8"/>
      <c r="K43" s="8"/>
      <c r="L43" s="8"/>
      <c r="M43" s="12"/>
      <c r="N43" s="8"/>
      <c r="O43" s="8"/>
      <c r="P43" s="8"/>
      <c r="Q43" s="12"/>
      <c r="R43" s="8"/>
      <c r="S43" s="8"/>
      <c r="T43" s="8"/>
      <c r="U43" s="12"/>
      <c r="W43" s="8"/>
    </row>
    <row r="44" spans="1:23" x14ac:dyDescent="0.25">
      <c r="A44" s="8"/>
      <c r="B44" s="8"/>
      <c r="C44" s="8"/>
      <c r="D44" s="8"/>
      <c r="E44" s="12"/>
      <c r="F44" s="8"/>
      <c r="G44" s="8"/>
      <c r="H44" s="8"/>
      <c r="I44" s="12"/>
      <c r="J44" s="8"/>
      <c r="K44" s="8"/>
      <c r="L44" s="8"/>
      <c r="M44" s="12"/>
      <c r="N44" s="8"/>
      <c r="O44" s="8"/>
      <c r="P44" s="8"/>
      <c r="Q44" s="12"/>
      <c r="R44" s="8"/>
      <c r="S44" s="8"/>
      <c r="T44" s="8"/>
      <c r="U44" s="12"/>
      <c r="W44" s="8"/>
    </row>
    <row r="45" spans="1:23" x14ac:dyDescent="0.25">
      <c r="A45" s="8"/>
      <c r="B45" s="8"/>
      <c r="C45" s="8"/>
      <c r="D45" s="8"/>
      <c r="E45" s="12"/>
      <c r="F45" s="8"/>
      <c r="G45" s="8"/>
      <c r="H45" s="8"/>
      <c r="I45" s="12"/>
      <c r="J45" s="8"/>
      <c r="K45" s="8"/>
      <c r="L45" s="8"/>
      <c r="M45" s="12"/>
      <c r="N45" s="8"/>
      <c r="O45" s="8"/>
      <c r="P45" s="8"/>
      <c r="Q45" s="12"/>
      <c r="R45" s="8"/>
      <c r="S45" s="8"/>
      <c r="T45" s="8"/>
      <c r="U45" s="12"/>
      <c r="W45" s="8"/>
    </row>
    <row r="46" spans="1:23" x14ac:dyDescent="0.25">
      <c r="A46" s="8"/>
      <c r="B46" s="8"/>
      <c r="C46" s="8"/>
      <c r="D46" s="8"/>
      <c r="E46" s="12"/>
      <c r="F46" s="8"/>
      <c r="G46" s="8"/>
      <c r="H46" s="8"/>
      <c r="I46" s="12"/>
      <c r="J46" s="8"/>
      <c r="K46" s="8"/>
      <c r="L46" s="8"/>
      <c r="M46" s="12"/>
      <c r="N46" s="8"/>
      <c r="O46" s="8"/>
      <c r="P46" s="8"/>
      <c r="Q46" s="12"/>
      <c r="R46" s="8"/>
      <c r="S46" s="8"/>
      <c r="T46" s="8"/>
      <c r="U46" s="12"/>
      <c r="W46" s="8"/>
    </row>
    <row r="47" spans="1:23" x14ac:dyDescent="0.25">
      <c r="A47" s="8"/>
      <c r="B47" s="8"/>
      <c r="C47" s="8"/>
      <c r="D47" s="8"/>
      <c r="E47" s="12"/>
      <c r="F47" s="8"/>
      <c r="G47" s="8"/>
      <c r="H47" s="8"/>
      <c r="I47" s="12"/>
      <c r="J47" s="8"/>
      <c r="K47" s="8"/>
      <c r="L47" s="8"/>
      <c r="M47" s="12"/>
      <c r="N47" s="8"/>
      <c r="O47" s="8"/>
      <c r="P47" s="8"/>
      <c r="Q47" s="12"/>
      <c r="R47" s="8"/>
      <c r="S47" s="8"/>
      <c r="T47" s="8"/>
      <c r="U47" s="12"/>
      <c r="W47" s="8"/>
    </row>
    <row r="48" spans="1:23" x14ac:dyDescent="0.25">
      <c r="A48" s="8"/>
      <c r="B48" s="8"/>
      <c r="C48" s="8"/>
      <c r="D48" s="8"/>
      <c r="E48" s="12"/>
      <c r="F48" s="8"/>
      <c r="G48" s="8"/>
      <c r="H48" s="8"/>
      <c r="I48" s="12"/>
      <c r="J48" s="8"/>
      <c r="K48" s="8"/>
      <c r="L48" s="8"/>
      <c r="M48" s="12"/>
      <c r="N48" s="8"/>
      <c r="O48" s="8"/>
      <c r="P48" s="8"/>
      <c r="Q48" s="12"/>
      <c r="R48" s="8"/>
      <c r="S48" s="8"/>
      <c r="T48" s="8"/>
      <c r="U48" s="12"/>
      <c r="W48" s="8"/>
    </row>
    <row r="49" spans="1:23" x14ac:dyDescent="0.25">
      <c r="A49" s="8"/>
      <c r="B49" s="8"/>
      <c r="C49" s="8"/>
      <c r="D49" s="8"/>
      <c r="E49" s="12"/>
      <c r="F49" s="8"/>
      <c r="G49" s="8"/>
      <c r="H49" s="8"/>
      <c r="I49" s="12"/>
      <c r="J49" s="8"/>
      <c r="K49" s="8"/>
      <c r="L49" s="8"/>
      <c r="M49" s="12"/>
      <c r="N49" s="8"/>
      <c r="O49" s="8"/>
      <c r="P49" s="8"/>
      <c r="Q49" s="12"/>
      <c r="R49" s="8"/>
      <c r="S49" s="8"/>
      <c r="T49" s="8"/>
      <c r="U49" s="12"/>
      <c r="W49" s="8"/>
    </row>
    <row r="50" spans="1:23" x14ac:dyDescent="0.25">
      <c r="A50" s="8"/>
      <c r="B50" s="8"/>
      <c r="C50" s="8"/>
      <c r="D50" s="8"/>
      <c r="E50" s="12"/>
      <c r="F50" s="8"/>
      <c r="G50" s="8"/>
      <c r="H50" s="8"/>
      <c r="I50" s="12"/>
      <c r="J50" s="8"/>
      <c r="K50" s="8"/>
      <c r="L50" s="8"/>
      <c r="M50" s="12"/>
      <c r="N50" s="8"/>
      <c r="O50" s="8"/>
      <c r="P50" s="8"/>
      <c r="Q50" s="12"/>
      <c r="R50" s="8"/>
      <c r="S50" s="8"/>
      <c r="T50" s="8"/>
      <c r="U50" s="12"/>
      <c r="W50" s="8"/>
    </row>
    <row r="51" spans="1:23" x14ac:dyDescent="0.25">
      <c r="A51" s="8"/>
      <c r="B51" s="8"/>
      <c r="C51" s="8"/>
      <c r="D51" s="8"/>
      <c r="E51" s="12"/>
      <c r="F51" s="8"/>
      <c r="G51" s="8"/>
      <c r="H51" s="8"/>
      <c r="I51" s="12"/>
      <c r="J51" s="8"/>
      <c r="K51" s="8"/>
      <c r="L51" s="8"/>
      <c r="M51" s="12"/>
      <c r="N51" s="8"/>
      <c r="O51" s="8"/>
      <c r="P51" s="8"/>
      <c r="Q51" s="12"/>
      <c r="R51" s="8"/>
      <c r="S51" s="8"/>
      <c r="T51" s="8"/>
      <c r="U51" s="12"/>
      <c r="W51" s="8"/>
    </row>
    <row r="52" spans="1:23" x14ac:dyDescent="0.25">
      <c r="A52" s="8"/>
      <c r="B52" s="8"/>
      <c r="C52" s="8"/>
      <c r="D52" s="8"/>
      <c r="E52" s="12"/>
      <c r="F52" s="8"/>
      <c r="G52" s="8"/>
      <c r="H52" s="8"/>
      <c r="I52" s="12"/>
      <c r="J52" s="8"/>
      <c r="K52" s="8"/>
      <c r="L52" s="8"/>
      <c r="M52" s="12"/>
      <c r="N52" s="8"/>
      <c r="O52" s="8"/>
      <c r="P52" s="8"/>
      <c r="Q52" s="12"/>
      <c r="R52" s="8"/>
      <c r="S52" s="8"/>
      <c r="T52" s="8"/>
      <c r="U52" s="12"/>
      <c r="W52" s="8"/>
    </row>
    <row r="53" spans="1:23" x14ac:dyDescent="0.25">
      <c r="A53" s="8"/>
      <c r="B53" s="8"/>
      <c r="C53" s="8"/>
      <c r="D53" s="8"/>
      <c r="E53" s="12"/>
      <c r="F53" s="8"/>
      <c r="G53" s="8"/>
      <c r="H53" s="8"/>
      <c r="I53" s="12"/>
      <c r="J53" s="8"/>
      <c r="K53" s="8"/>
      <c r="L53" s="8"/>
      <c r="M53" s="12"/>
      <c r="N53" s="8"/>
      <c r="O53" s="8"/>
      <c r="P53" s="8"/>
      <c r="Q53" s="12"/>
      <c r="R53" s="8"/>
      <c r="S53" s="8"/>
      <c r="T53" s="8"/>
      <c r="U53" s="12"/>
      <c r="W53" s="8"/>
    </row>
    <row r="54" spans="1:23" x14ac:dyDescent="0.25">
      <c r="A54" s="8"/>
      <c r="B54" s="8"/>
      <c r="C54" s="8"/>
      <c r="D54" s="8"/>
      <c r="E54" s="12"/>
      <c r="F54" s="8"/>
      <c r="G54" s="8"/>
      <c r="H54" s="8"/>
      <c r="I54" s="12"/>
      <c r="J54" s="8"/>
      <c r="K54" s="8"/>
      <c r="L54" s="8"/>
      <c r="M54" s="12"/>
      <c r="N54" s="8"/>
      <c r="O54" s="8"/>
      <c r="P54" s="8"/>
      <c r="Q54" s="12"/>
      <c r="R54" s="8"/>
      <c r="S54" s="8"/>
      <c r="T54" s="8"/>
      <c r="U54" s="12"/>
      <c r="W54" s="8"/>
    </row>
    <row r="55" spans="1:23" x14ac:dyDescent="0.25">
      <c r="A55" s="8"/>
      <c r="B55" s="8"/>
      <c r="C55" s="8"/>
      <c r="D55" s="8"/>
      <c r="E55" s="12"/>
      <c r="F55" s="8"/>
      <c r="G55" s="8"/>
      <c r="H55" s="8"/>
      <c r="I55" s="12"/>
      <c r="J55" s="8"/>
      <c r="K55" s="8"/>
      <c r="L55" s="8"/>
      <c r="M55" s="12"/>
      <c r="N55" s="8"/>
      <c r="O55" s="8"/>
      <c r="P55" s="8"/>
      <c r="Q55" s="12"/>
      <c r="R55" s="8"/>
      <c r="S55" s="8"/>
      <c r="T55" s="8"/>
      <c r="U55" s="12"/>
      <c r="W55" s="8"/>
    </row>
    <row r="56" spans="1:23" x14ac:dyDescent="0.25">
      <c r="A56" s="8"/>
      <c r="B56" s="8"/>
      <c r="C56" s="8"/>
      <c r="D56" s="8"/>
      <c r="E56" s="12"/>
      <c r="F56" s="8"/>
      <c r="G56" s="8"/>
      <c r="H56" s="8"/>
      <c r="I56" s="12"/>
      <c r="J56" s="8"/>
      <c r="K56" s="8"/>
      <c r="L56" s="8"/>
      <c r="M56" s="12"/>
      <c r="N56" s="8"/>
      <c r="O56" s="8"/>
      <c r="P56" s="8"/>
      <c r="Q56" s="12"/>
      <c r="R56" s="8"/>
      <c r="S56" s="8"/>
      <c r="T56" s="8"/>
      <c r="U56" s="12"/>
      <c r="W56" s="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EDCB-2876-4117-A2CB-98EBD36AC814}">
  <dimension ref="A1:X53"/>
  <sheetViews>
    <sheetView workbookViewId="0">
      <selection activeCell="T17" sqref="T17"/>
    </sheetView>
  </sheetViews>
  <sheetFormatPr defaultRowHeight="16.5" x14ac:dyDescent="0.25"/>
  <cols>
    <col min="3" max="3" width="9" style="17"/>
    <col min="9" max="10" width="10.125" customWidth="1"/>
    <col min="13" max="13" width="9" style="19"/>
  </cols>
  <sheetData>
    <row r="1" spans="1:24" x14ac:dyDescent="0.25">
      <c r="A1" s="46" t="s">
        <v>61</v>
      </c>
      <c r="B1" s="46" t="s">
        <v>108</v>
      </c>
      <c r="C1" s="16"/>
      <c r="D1" s="5"/>
      <c r="E1" s="5" t="s">
        <v>109</v>
      </c>
      <c r="F1" s="5"/>
      <c r="G1" s="5"/>
      <c r="H1" s="5"/>
      <c r="I1" s="5"/>
      <c r="J1" s="5"/>
      <c r="K1" s="5"/>
      <c r="N1" s="46" t="s">
        <v>61</v>
      </c>
      <c r="O1" s="46" t="s">
        <v>108</v>
      </c>
      <c r="P1" s="16"/>
      <c r="Q1" s="5"/>
      <c r="R1" s="5" t="s">
        <v>1303</v>
      </c>
      <c r="S1" s="5"/>
      <c r="T1" s="5"/>
      <c r="U1" s="5"/>
      <c r="V1" s="5"/>
      <c r="W1" s="5"/>
      <c r="X1" s="5"/>
    </row>
    <row r="2" spans="1:24" x14ac:dyDescent="0.25">
      <c r="A2" s="46"/>
      <c r="B2" s="47"/>
      <c r="C2" s="16" t="s">
        <v>166</v>
      </c>
      <c r="D2" s="5" t="s">
        <v>167</v>
      </c>
      <c r="E2" s="6" t="s">
        <v>110</v>
      </c>
      <c r="F2" s="6" t="s">
        <v>111</v>
      </c>
      <c r="G2" s="6" t="s">
        <v>112</v>
      </c>
      <c r="H2" s="6" t="s">
        <v>115</v>
      </c>
      <c r="I2" s="6" t="s">
        <v>370</v>
      </c>
      <c r="J2" s="23" t="s">
        <v>253</v>
      </c>
      <c r="K2" s="23" t="s">
        <v>254</v>
      </c>
      <c r="N2" s="46"/>
      <c r="O2" s="47"/>
      <c r="P2" s="16" t="s">
        <v>166</v>
      </c>
      <c r="Q2" s="5" t="s">
        <v>167</v>
      </c>
      <c r="R2" s="6" t="s">
        <v>110</v>
      </c>
      <c r="S2" s="6" t="s">
        <v>111</v>
      </c>
      <c r="T2" s="6" t="s">
        <v>112</v>
      </c>
      <c r="U2" s="6" t="s">
        <v>115</v>
      </c>
      <c r="V2" s="6" t="s">
        <v>370</v>
      </c>
      <c r="W2" s="23" t="s">
        <v>253</v>
      </c>
      <c r="X2" s="23" t="s">
        <v>254</v>
      </c>
    </row>
    <row r="3" spans="1:24" x14ac:dyDescent="0.25">
      <c r="A3" s="48" t="s">
        <v>82</v>
      </c>
      <c r="B3" s="18" t="s">
        <v>84</v>
      </c>
      <c r="C3" s="5" t="s">
        <v>591</v>
      </c>
      <c r="D3" s="5" t="s">
        <v>619</v>
      </c>
      <c r="E3" s="5" t="s">
        <v>647</v>
      </c>
      <c r="F3" s="5" t="s">
        <v>675</v>
      </c>
      <c r="G3" s="5" t="s">
        <v>703</v>
      </c>
      <c r="H3" s="5" t="s">
        <v>730</v>
      </c>
      <c r="I3" s="5" t="s">
        <v>757</v>
      </c>
      <c r="J3" s="5" t="s">
        <v>784</v>
      </c>
      <c r="K3" s="5" t="s">
        <v>812</v>
      </c>
      <c r="N3" s="48" t="s">
        <v>82</v>
      </c>
      <c r="O3" s="18" t="s">
        <v>84</v>
      </c>
      <c r="P3" s="5" t="s">
        <v>588</v>
      </c>
      <c r="Q3" s="5" t="s">
        <v>616</v>
      </c>
      <c r="R3" s="5" t="s">
        <v>644</v>
      </c>
      <c r="S3" s="5" t="s">
        <v>672</v>
      </c>
      <c r="T3" s="5" t="s">
        <v>700</v>
      </c>
      <c r="U3" s="5" t="s">
        <v>727</v>
      </c>
      <c r="V3" s="5" t="s">
        <v>754</v>
      </c>
      <c r="W3" s="5" t="s">
        <v>781</v>
      </c>
      <c r="X3" s="5" t="s">
        <v>809</v>
      </c>
    </row>
    <row r="4" spans="1:24" x14ac:dyDescent="0.25">
      <c r="A4" s="48"/>
      <c r="B4" s="7" t="s">
        <v>85</v>
      </c>
      <c r="C4" s="5" t="s">
        <v>579</v>
      </c>
      <c r="D4" s="5" t="s">
        <v>607</v>
      </c>
      <c r="E4" s="5" t="s">
        <v>635</v>
      </c>
      <c r="F4" s="5" t="s">
        <v>663</v>
      </c>
      <c r="G4" s="5" t="s">
        <v>691</v>
      </c>
      <c r="H4" s="5" t="s">
        <v>719</v>
      </c>
      <c r="I4" s="5" t="s">
        <v>746</v>
      </c>
      <c r="J4" s="5" t="s">
        <v>773</v>
      </c>
      <c r="K4" s="5" t="s">
        <v>800</v>
      </c>
      <c r="N4" s="48"/>
      <c r="O4" s="7" t="s">
        <v>85</v>
      </c>
      <c r="P4" s="5" t="s">
        <v>576</v>
      </c>
      <c r="Q4" s="5" t="s">
        <v>604</v>
      </c>
      <c r="R4" s="5" t="s">
        <v>632</v>
      </c>
      <c r="S4" s="5" t="s">
        <v>660</v>
      </c>
      <c r="T4" s="5" t="s">
        <v>688</v>
      </c>
      <c r="U4" s="5" t="s">
        <v>716</v>
      </c>
      <c r="V4" s="5" t="s">
        <v>743</v>
      </c>
      <c r="W4" s="5" t="s">
        <v>770</v>
      </c>
      <c r="X4" s="5" t="s">
        <v>797</v>
      </c>
    </row>
    <row r="5" spans="1:24" x14ac:dyDescent="0.25">
      <c r="A5" s="48"/>
      <c r="B5" s="7" t="s">
        <v>86</v>
      </c>
      <c r="C5" s="5" t="s">
        <v>575</v>
      </c>
      <c r="D5" s="5" t="s">
        <v>603</v>
      </c>
      <c r="E5" s="5" t="s">
        <v>631</v>
      </c>
      <c r="F5" s="5" t="s">
        <v>659</v>
      </c>
      <c r="G5" s="5" t="s">
        <v>687</v>
      </c>
      <c r="H5" s="5" t="s">
        <v>715</v>
      </c>
      <c r="I5" s="5" t="s">
        <v>742</v>
      </c>
      <c r="J5" s="5" t="s">
        <v>769</v>
      </c>
      <c r="K5" s="5" t="s">
        <v>796</v>
      </c>
      <c r="N5" s="48"/>
      <c r="O5" s="7" t="s">
        <v>86</v>
      </c>
      <c r="P5" s="5" t="s">
        <v>572</v>
      </c>
      <c r="Q5" s="5" t="s">
        <v>600</v>
      </c>
      <c r="R5" s="5" t="s">
        <v>628</v>
      </c>
      <c r="S5" s="5" t="s">
        <v>656</v>
      </c>
      <c r="T5" s="5" t="s">
        <v>684</v>
      </c>
      <c r="U5" s="5" t="s">
        <v>712</v>
      </c>
      <c r="V5" s="5" t="s">
        <v>739</v>
      </c>
      <c r="W5" s="5" t="s">
        <v>766</v>
      </c>
      <c r="X5" s="5" t="s">
        <v>793</v>
      </c>
    </row>
    <row r="6" spans="1:24" x14ac:dyDescent="0.25">
      <c r="A6" s="48"/>
      <c r="B6" s="7" t="s">
        <v>87</v>
      </c>
      <c r="C6" s="5" t="s">
        <v>583</v>
      </c>
      <c r="D6" s="5" t="s">
        <v>611</v>
      </c>
      <c r="E6" s="5" t="s">
        <v>639</v>
      </c>
      <c r="F6" s="5" t="s">
        <v>667</v>
      </c>
      <c r="G6" s="5" t="s">
        <v>695</v>
      </c>
      <c r="H6" s="5" t="s">
        <v>722</v>
      </c>
      <c r="I6" s="5" t="s">
        <v>749</v>
      </c>
      <c r="J6" s="5" t="s">
        <v>776</v>
      </c>
      <c r="K6" s="5" t="s">
        <v>804</v>
      </c>
      <c r="N6" s="48"/>
      <c r="O6" s="7" t="s">
        <v>87</v>
      </c>
      <c r="P6" s="5" t="s">
        <v>580</v>
      </c>
      <c r="Q6" s="5" t="s">
        <v>608</v>
      </c>
      <c r="R6" s="5" t="s">
        <v>636</v>
      </c>
      <c r="S6" s="5" t="s">
        <v>664</v>
      </c>
      <c r="T6" s="5" t="s">
        <v>692</v>
      </c>
      <c r="U6" s="5" t="s">
        <v>720</v>
      </c>
      <c r="V6" s="5" t="s">
        <v>608</v>
      </c>
      <c r="W6" s="5" t="s">
        <v>610</v>
      </c>
      <c r="X6" s="5" t="s">
        <v>801</v>
      </c>
    </row>
    <row r="7" spans="1:24" x14ac:dyDescent="0.25">
      <c r="A7" s="48"/>
      <c r="B7" s="7" t="s">
        <v>88</v>
      </c>
      <c r="C7" s="5" t="s">
        <v>567</v>
      </c>
      <c r="D7" s="5" t="s">
        <v>595</v>
      </c>
      <c r="E7" s="5" t="s">
        <v>623</v>
      </c>
      <c r="F7" s="5" t="s">
        <v>651</v>
      </c>
      <c r="G7" s="5" t="s">
        <v>679</v>
      </c>
      <c r="H7" s="5" t="s">
        <v>707</v>
      </c>
      <c r="I7" s="5" t="s">
        <v>734</v>
      </c>
      <c r="J7" s="5" t="s">
        <v>761</v>
      </c>
      <c r="K7" s="5" t="s">
        <v>788</v>
      </c>
      <c r="N7" s="48"/>
      <c r="O7" s="7" t="s">
        <v>88</v>
      </c>
      <c r="P7" s="5" t="s">
        <v>564</v>
      </c>
      <c r="Q7" s="5" t="s">
        <v>592</v>
      </c>
      <c r="R7" s="5" t="s">
        <v>620</v>
      </c>
      <c r="S7" s="5" t="s">
        <v>648</v>
      </c>
      <c r="T7" s="5" t="s">
        <v>676</v>
      </c>
      <c r="U7" s="5" t="s">
        <v>704</v>
      </c>
      <c r="V7" s="5" t="s">
        <v>731</v>
      </c>
      <c r="W7" s="5" t="s">
        <v>758</v>
      </c>
      <c r="X7" s="5" t="s">
        <v>785</v>
      </c>
    </row>
    <row r="8" spans="1:24" x14ac:dyDescent="0.25">
      <c r="A8" s="48"/>
      <c r="B8" s="7" t="s">
        <v>89</v>
      </c>
      <c r="C8" s="5" t="s">
        <v>587</v>
      </c>
      <c r="D8" s="5" t="s">
        <v>615</v>
      </c>
      <c r="E8" s="5" t="s">
        <v>643</v>
      </c>
      <c r="F8" s="5" t="s">
        <v>671</v>
      </c>
      <c r="G8" s="5" t="s">
        <v>699</v>
      </c>
      <c r="H8" s="5" t="s">
        <v>726</v>
      </c>
      <c r="I8" s="5" t="s">
        <v>753</v>
      </c>
      <c r="J8" s="5" t="s">
        <v>780</v>
      </c>
      <c r="K8" s="5" t="s">
        <v>808</v>
      </c>
      <c r="N8" s="48"/>
      <c r="O8" s="7" t="s">
        <v>89</v>
      </c>
      <c r="P8" s="5" t="s">
        <v>584</v>
      </c>
      <c r="Q8" s="5" t="s">
        <v>612</v>
      </c>
      <c r="R8" s="5" t="s">
        <v>640</v>
      </c>
      <c r="S8" s="5" t="s">
        <v>668</v>
      </c>
      <c r="T8" s="5" t="s">
        <v>696</v>
      </c>
      <c r="U8" s="5" t="s">
        <v>723</v>
      </c>
      <c r="V8" s="5" t="s">
        <v>750</v>
      </c>
      <c r="W8" s="5" t="s">
        <v>777</v>
      </c>
      <c r="X8" s="5" t="s">
        <v>805</v>
      </c>
    </row>
    <row r="9" spans="1:24" x14ac:dyDescent="0.25">
      <c r="A9" s="48"/>
      <c r="B9" s="7" t="s">
        <v>90</v>
      </c>
      <c r="C9" s="5" t="s">
        <v>571</v>
      </c>
      <c r="D9" s="5" t="s">
        <v>599</v>
      </c>
      <c r="E9" s="5" t="s">
        <v>627</v>
      </c>
      <c r="F9" s="5" t="s">
        <v>655</v>
      </c>
      <c r="G9" s="5" t="s">
        <v>683</v>
      </c>
      <c r="H9" s="5" t="s">
        <v>711</v>
      </c>
      <c r="I9" s="5" t="s">
        <v>738</v>
      </c>
      <c r="J9" s="5" t="s">
        <v>765</v>
      </c>
      <c r="K9" s="5" t="s">
        <v>792</v>
      </c>
      <c r="N9" s="48"/>
      <c r="O9" s="7" t="s">
        <v>90</v>
      </c>
      <c r="P9" s="5" t="s">
        <v>568</v>
      </c>
      <c r="Q9" s="5" t="s">
        <v>596</v>
      </c>
      <c r="R9" s="5" t="s">
        <v>624</v>
      </c>
      <c r="S9" s="5" t="s">
        <v>652</v>
      </c>
      <c r="T9" s="5" t="s">
        <v>680</v>
      </c>
      <c r="U9" s="5" t="s">
        <v>708</v>
      </c>
      <c r="V9" s="5" t="s">
        <v>735</v>
      </c>
      <c r="W9" s="5" t="s">
        <v>762</v>
      </c>
      <c r="X9" s="5" t="s">
        <v>789</v>
      </c>
    </row>
    <row r="10" spans="1:24" x14ac:dyDescent="0.25">
      <c r="A10" s="48" t="s">
        <v>83</v>
      </c>
      <c r="B10" s="7" t="s">
        <v>91</v>
      </c>
      <c r="C10" s="5" t="s">
        <v>836</v>
      </c>
      <c r="D10" s="5" t="s">
        <v>867</v>
      </c>
      <c r="E10" s="5" t="s">
        <v>899</v>
      </c>
      <c r="F10" s="5" t="s">
        <v>924</v>
      </c>
      <c r="G10" s="5" t="s">
        <v>949</v>
      </c>
      <c r="H10" s="5" t="s">
        <v>965</v>
      </c>
      <c r="I10" s="5" t="s">
        <v>982</v>
      </c>
      <c r="J10" s="5" t="s">
        <v>1005</v>
      </c>
      <c r="K10" s="5" t="s">
        <v>1031</v>
      </c>
      <c r="N10" s="48" t="s">
        <v>83</v>
      </c>
      <c r="O10" s="7" t="s">
        <v>91</v>
      </c>
      <c r="P10" s="5" t="s">
        <v>833</v>
      </c>
      <c r="Q10" s="5" t="s">
        <v>854</v>
      </c>
      <c r="R10" s="5" t="s">
        <v>896</v>
      </c>
      <c r="S10" s="5" t="s">
        <v>923</v>
      </c>
      <c r="T10" s="5" t="s">
        <v>923</v>
      </c>
      <c r="U10" s="5" t="s">
        <v>964</v>
      </c>
      <c r="V10" s="5" t="s">
        <v>925</v>
      </c>
      <c r="W10" s="5" t="s">
        <v>948</v>
      </c>
      <c r="X10" s="5" t="s">
        <v>1029</v>
      </c>
    </row>
    <row r="11" spans="1:24" x14ac:dyDescent="0.25">
      <c r="A11" s="48"/>
      <c r="B11" s="7" t="s">
        <v>92</v>
      </c>
      <c r="C11" s="5" t="s">
        <v>840</v>
      </c>
      <c r="D11" s="5" t="s">
        <v>870</v>
      </c>
      <c r="E11" s="5" t="s">
        <v>901</v>
      </c>
      <c r="F11" s="5" t="s">
        <v>927</v>
      </c>
      <c r="G11" s="5" t="s">
        <v>952</v>
      </c>
      <c r="H11" s="5" t="s">
        <v>969</v>
      </c>
      <c r="I11" s="5" t="s">
        <v>984</v>
      </c>
      <c r="J11" s="5" t="s">
        <v>1007</v>
      </c>
      <c r="K11" s="5" t="s">
        <v>1032</v>
      </c>
      <c r="N11" s="48"/>
      <c r="O11" s="7" t="s">
        <v>92</v>
      </c>
      <c r="P11" s="5" t="s">
        <v>837</v>
      </c>
      <c r="Q11" s="5" t="s">
        <v>868</v>
      </c>
      <c r="R11" s="5" t="s">
        <v>896</v>
      </c>
      <c r="S11" s="5" t="s">
        <v>925</v>
      </c>
      <c r="T11" s="5" t="s">
        <v>900</v>
      </c>
      <c r="U11" s="5" t="s">
        <v>966</v>
      </c>
      <c r="V11" s="5" t="s">
        <v>896</v>
      </c>
      <c r="W11" s="5" t="s">
        <v>900</v>
      </c>
      <c r="X11" s="5" t="s">
        <v>864</v>
      </c>
    </row>
    <row r="12" spans="1:24" x14ac:dyDescent="0.25">
      <c r="A12" s="48"/>
      <c r="B12" s="7" t="s">
        <v>93</v>
      </c>
      <c r="C12" s="5" t="s">
        <v>820</v>
      </c>
      <c r="D12" s="5" t="s">
        <v>855</v>
      </c>
      <c r="E12" s="5" t="s">
        <v>885</v>
      </c>
      <c r="F12" s="5" t="s">
        <v>915</v>
      </c>
      <c r="G12" s="5" t="s">
        <v>941</v>
      </c>
      <c r="H12" s="5" t="s">
        <v>938</v>
      </c>
      <c r="I12" s="5" t="s">
        <v>977</v>
      </c>
      <c r="J12" s="5" t="s">
        <v>995</v>
      </c>
      <c r="K12" s="5" t="s">
        <v>1019</v>
      </c>
      <c r="N12" s="48"/>
      <c r="O12" s="7" t="s">
        <v>93</v>
      </c>
      <c r="P12" s="5" t="s">
        <v>817</v>
      </c>
      <c r="Q12" s="5" t="s">
        <v>852</v>
      </c>
      <c r="R12" s="5" t="s">
        <v>883</v>
      </c>
      <c r="S12" s="5" t="s">
        <v>913</v>
      </c>
      <c r="T12" s="5" t="s">
        <v>921</v>
      </c>
      <c r="U12" s="5" t="s">
        <v>817</v>
      </c>
      <c r="V12" s="5" t="s">
        <v>883</v>
      </c>
      <c r="W12" s="5" t="s">
        <v>994</v>
      </c>
      <c r="X12" s="5" t="s">
        <v>883</v>
      </c>
    </row>
    <row r="13" spans="1:24" x14ac:dyDescent="0.25">
      <c r="A13" s="48"/>
      <c r="B13" s="7" t="s">
        <v>94</v>
      </c>
      <c r="C13" s="5" t="s">
        <v>816</v>
      </c>
      <c r="D13" s="5" t="s">
        <v>851</v>
      </c>
      <c r="E13" s="5" t="s">
        <v>882</v>
      </c>
      <c r="F13" s="5" t="s">
        <v>912</v>
      </c>
      <c r="G13" s="5" t="s">
        <v>938</v>
      </c>
      <c r="H13" s="5" t="s">
        <v>938</v>
      </c>
      <c r="I13" s="5" t="s">
        <v>938</v>
      </c>
      <c r="J13" s="5" t="s">
        <v>993</v>
      </c>
      <c r="K13" s="5" t="s">
        <v>1018</v>
      </c>
      <c r="N13" s="48"/>
      <c r="O13" s="7" t="s">
        <v>94</v>
      </c>
      <c r="P13" s="5" t="s">
        <v>813</v>
      </c>
      <c r="Q13" s="5" t="s">
        <v>849</v>
      </c>
      <c r="R13" s="5" t="s">
        <v>879</v>
      </c>
      <c r="S13" s="5" t="s">
        <v>909</v>
      </c>
      <c r="T13" s="5" t="s">
        <v>935</v>
      </c>
      <c r="U13" s="5" t="s">
        <v>935</v>
      </c>
      <c r="V13" s="5" t="s">
        <v>935</v>
      </c>
      <c r="W13" s="5" t="s">
        <v>990</v>
      </c>
      <c r="X13" s="5" t="s">
        <v>1015</v>
      </c>
    </row>
    <row r="14" spans="1:24" x14ac:dyDescent="0.25">
      <c r="A14" s="48"/>
      <c r="B14" s="7" t="s">
        <v>95</v>
      </c>
      <c r="C14" s="5" t="s">
        <v>832</v>
      </c>
      <c r="D14" s="5" t="s">
        <v>865</v>
      </c>
      <c r="E14" s="5" t="s">
        <v>895</v>
      </c>
      <c r="F14" s="5" t="s">
        <v>922</v>
      </c>
      <c r="G14" s="5" t="s">
        <v>947</v>
      </c>
      <c r="H14" s="5" t="s">
        <v>963</v>
      </c>
      <c r="I14" s="5" t="s">
        <v>981</v>
      </c>
      <c r="J14" s="5" t="s">
        <v>1003</v>
      </c>
      <c r="K14" s="5" t="s">
        <v>1028</v>
      </c>
      <c r="N14" s="48"/>
      <c r="O14" s="7" t="s">
        <v>95</v>
      </c>
      <c r="P14" s="5" t="s">
        <v>829</v>
      </c>
      <c r="Q14" s="5" t="s">
        <v>863</v>
      </c>
      <c r="R14" s="5" t="s">
        <v>893</v>
      </c>
      <c r="S14" s="5" t="s">
        <v>921</v>
      </c>
      <c r="T14" s="5" t="s">
        <v>884</v>
      </c>
      <c r="U14" s="5" t="s">
        <v>884</v>
      </c>
      <c r="V14" s="5" t="s">
        <v>923</v>
      </c>
      <c r="W14" s="5" t="s">
        <v>925</v>
      </c>
      <c r="X14" s="5" t="s">
        <v>923</v>
      </c>
    </row>
    <row r="15" spans="1:24" x14ac:dyDescent="0.25">
      <c r="A15" s="48"/>
      <c r="B15" s="7" t="s">
        <v>96</v>
      </c>
      <c r="C15" s="5" t="s">
        <v>824</v>
      </c>
      <c r="D15" s="5" t="s">
        <v>858</v>
      </c>
      <c r="E15" s="5" t="s">
        <v>888</v>
      </c>
      <c r="F15" s="5" t="s">
        <v>917</v>
      </c>
      <c r="G15" s="5" t="s">
        <v>944</v>
      </c>
      <c r="H15" s="5" t="s">
        <v>962</v>
      </c>
      <c r="I15" s="5" t="s">
        <v>980</v>
      </c>
      <c r="J15" s="5" t="s">
        <v>997</v>
      </c>
      <c r="K15" s="5" t="s">
        <v>1023</v>
      </c>
      <c r="N15" s="48"/>
      <c r="O15" s="7" t="s">
        <v>96</v>
      </c>
      <c r="P15" s="5" t="s">
        <v>821</v>
      </c>
      <c r="Q15" s="5" t="s">
        <v>856</v>
      </c>
      <c r="R15" s="5" t="s">
        <v>886</v>
      </c>
      <c r="S15" s="5" t="s">
        <v>916</v>
      </c>
      <c r="T15" s="5" t="s">
        <v>942</v>
      </c>
      <c r="U15" s="5" t="s">
        <v>960</v>
      </c>
      <c r="V15" s="5" t="s">
        <v>978</v>
      </c>
      <c r="W15" s="5" t="s">
        <v>979</v>
      </c>
      <c r="X15" s="5" t="s">
        <v>1020</v>
      </c>
    </row>
    <row r="16" spans="1:24" x14ac:dyDescent="0.25">
      <c r="A16" s="48"/>
      <c r="B16" s="7" t="s">
        <v>97</v>
      </c>
      <c r="C16" s="5" t="s">
        <v>848</v>
      </c>
      <c r="D16" s="5" t="s">
        <v>878</v>
      </c>
      <c r="E16" s="5" t="s">
        <v>908</v>
      </c>
      <c r="F16" s="5" t="s">
        <v>934</v>
      </c>
      <c r="G16" s="5" t="s">
        <v>959</v>
      </c>
      <c r="H16" s="5" t="s">
        <v>976</v>
      </c>
      <c r="I16" s="5" t="s">
        <v>989</v>
      </c>
      <c r="J16" s="5" t="s">
        <v>1014</v>
      </c>
      <c r="K16" s="5" t="s">
        <v>1040</v>
      </c>
      <c r="N16" s="48"/>
      <c r="O16" s="7" t="s">
        <v>97</v>
      </c>
      <c r="P16" s="5" t="s">
        <v>845</v>
      </c>
      <c r="Q16" s="5" t="s">
        <v>875</v>
      </c>
      <c r="R16" s="5" t="s">
        <v>906</v>
      </c>
      <c r="S16" s="5" t="s">
        <v>931</v>
      </c>
      <c r="T16" s="5" t="s">
        <v>957</v>
      </c>
      <c r="U16" s="5" t="s">
        <v>957</v>
      </c>
      <c r="V16" s="5" t="s">
        <v>987</v>
      </c>
      <c r="W16" s="5" t="s">
        <v>1011</v>
      </c>
      <c r="X16" s="5" t="s">
        <v>1037</v>
      </c>
    </row>
    <row r="17" spans="1:24" x14ac:dyDescent="0.25">
      <c r="A17" s="48"/>
      <c r="B17" s="7" t="s">
        <v>98</v>
      </c>
      <c r="C17" s="5" t="s">
        <v>828</v>
      </c>
      <c r="D17" s="5" t="s">
        <v>862</v>
      </c>
      <c r="E17" s="5" t="s">
        <v>892</v>
      </c>
      <c r="F17" s="5" t="s">
        <v>862</v>
      </c>
      <c r="G17" s="5" t="s">
        <v>938</v>
      </c>
      <c r="H17" s="5" t="s">
        <v>938</v>
      </c>
      <c r="I17" s="5" t="s">
        <v>938</v>
      </c>
      <c r="J17" s="5" t="s">
        <v>1001</v>
      </c>
      <c r="K17" s="5" t="s">
        <v>1027</v>
      </c>
      <c r="N17" s="48"/>
      <c r="O17" s="7" t="s">
        <v>98</v>
      </c>
      <c r="P17" s="5" t="s">
        <v>825</v>
      </c>
      <c r="Q17" s="5" t="s">
        <v>859</v>
      </c>
      <c r="R17" s="5" t="s">
        <v>889</v>
      </c>
      <c r="S17" s="5" t="s">
        <v>918</v>
      </c>
      <c r="T17" s="5" t="s">
        <v>918</v>
      </c>
      <c r="U17" s="5" t="s">
        <v>918</v>
      </c>
      <c r="V17" s="5" t="s">
        <v>918</v>
      </c>
      <c r="W17" s="5" t="s">
        <v>998</v>
      </c>
      <c r="X17" s="5" t="s">
        <v>1024</v>
      </c>
    </row>
    <row r="18" spans="1:24" x14ac:dyDescent="0.25">
      <c r="A18" s="48"/>
      <c r="B18" s="7" t="s">
        <v>113</v>
      </c>
      <c r="C18" s="5" t="s">
        <v>844</v>
      </c>
      <c r="D18" s="5" t="s">
        <v>874</v>
      </c>
      <c r="E18" s="5" t="s">
        <v>905</v>
      </c>
      <c r="F18" s="5" t="s">
        <v>930</v>
      </c>
      <c r="G18" s="5" t="s">
        <v>956</v>
      </c>
      <c r="H18" s="5" t="s">
        <v>973</v>
      </c>
      <c r="I18" s="5" t="s">
        <v>986</v>
      </c>
      <c r="J18" s="5" t="s">
        <v>1010</v>
      </c>
      <c r="K18" s="5" t="s">
        <v>1036</v>
      </c>
      <c r="N18" s="48"/>
      <c r="O18" s="7" t="s">
        <v>113</v>
      </c>
      <c r="P18" s="5" t="s">
        <v>841</v>
      </c>
      <c r="Q18" s="5" t="s">
        <v>871</v>
      </c>
      <c r="R18" s="5" t="s">
        <v>902</v>
      </c>
      <c r="S18" s="5" t="s">
        <v>871</v>
      </c>
      <c r="T18" s="5" t="s">
        <v>953</v>
      </c>
      <c r="U18" s="5" t="s">
        <v>970</v>
      </c>
      <c r="V18" s="5" t="s">
        <v>985</v>
      </c>
      <c r="W18" s="5" t="s">
        <v>1008</v>
      </c>
      <c r="X18" s="5" t="s">
        <v>1033</v>
      </c>
    </row>
    <row r="19" spans="1:24" x14ac:dyDescent="0.25">
      <c r="A19" s="48" t="s">
        <v>107</v>
      </c>
      <c r="B19" s="7" t="s">
        <v>99</v>
      </c>
      <c r="C19" s="5" t="s">
        <v>1070</v>
      </c>
      <c r="D19" s="5" t="s">
        <v>1099</v>
      </c>
      <c r="E19" s="5" t="s">
        <v>1128</v>
      </c>
      <c r="F19" s="5" t="s">
        <v>1158</v>
      </c>
      <c r="G19" s="5" t="s">
        <v>1187</v>
      </c>
      <c r="H19" s="5" t="s">
        <v>1215</v>
      </c>
      <c r="I19" s="5" t="s">
        <v>1301</v>
      </c>
      <c r="J19" s="5" t="s">
        <v>1243</v>
      </c>
      <c r="K19" s="5" t="s">
        <v>1272</v>
      </c>
      <c r="N19" s="48" t="s">
        <v>107</v>
      </c>
      <c r="O19" s="7" t="s">
        <v>99</v>
      </c>
      <c r="P19" s="5" t="s">
        <v>1067</v>
      </c>
      <c r="Q19" s="5" t="s">
        <v>1096</v>
      </c>
      <c r="R19" s="5" t="s">
        <v>1125</v>
      </c>
      <c r="S19" s="5" t="s">
        <v>1155</v>
      </c>
      <c r="T19" s="5" t="s">
        <v>1184</v>
      </c>
      <c r="U19" s="5" t="s">
        <v>1096</v>
      </c>
      <c r="V19" s="5" t="s">
        <v>1298</v>
      </c>
      <c r="W19" s="5" t="s">
        <v>1240</v>
      </c>
      <c r="X19" s="5" t="s">
        <v>1269</v>
      </c>
    </row>
    <row r="20" spans="1:24" x14ac:dyDescent="0.25">
      <c r="A20" s="48"/>
      <c r="B20" s="7" t="s">
        <v>100</v>
      </c>
      <c r="C20" s="5" t="s">
        <v>1048</v>
      </c>
      <c r="D20" s="5" t="s">
        <v>1078</v>
      </c>
      <c r="E20" s="5" t="s">
        <v>1107</v>
      </c>
      <c r="F20" s="5" t="s">
        <v>1136</v>
      </c>
      <c r="G20" s="5" t="s">
        <v>1166</v>
      </c>
      <c r="H20" s="5" t="s">
        <v>1195</v>
      </c>
      <c r="I20" s="5" t="s">
        <v>1280</v>
      </c>
      <c r="J20" s="5" t="s">
        <v>1223</v>
      </c>
      <c r="K20" s="5" t="s">
        <v>1251</v>
      </c>
      <c r="N20" s="48"/>
      <c r="O20" s="7" t="s">
        <v>100</v>
      </c>
      <c r="P20" s="5" t="s">
        <v>1045</v>
      </c>
      <c r="Q20" s="5" t="s">
        <v>1075</v>
      </c>
      <c r="R20" s="5" t="s">
        <v>1104</v>
      </c>
      <c r="S20" s="5" t="s">
        <v>1133</v>
      </c>
      <c r="T20" s="5" t="s">
        <v>1163</v>
      </c>
      <c r="U20" s="5" t="s">
        <v>1192</v>
      </c>
      <c r="V20" s="5" t="s">
        <v>1277</v>
      </c>
      <c r="W20" s="5" t="s">
        <v>1220</v>
      </c>
      <c r="X20" s="5" t="s">
        <v>1248</v>
      </c>
    </row>
    <row r="21" spans="1:24" x14ac:dyDescent="0.25">
      <c r="A21" s="48"/>
      <c r="B21" s="7" t="s">
        <v>101</v>
      </c>
      <c r="C21" s="5" t="s">
        <v>1044</v>
      </c>
      <c r="D21" s="5" t="s">
        <v>1074</v>
      </c>
      <c r="E21" s="5" t="s">
        <v>1103</v>
      </c>
      <c r="F21" s="5" t="s">
        <v>1132</v>
      </c>
      <c r="G21" s="5" t="s">
        <v>1162</v>
      </c>
      <c r="H21" s="5" t="s">
        <v>1191</v>
      </c>
      <c r="I21" s="5" t="s">
        <v>1276</v>
      </c>
      <c r="J21" s="5" t="s">
        <v>1219</v>
      </c>
      <c r="K21" s="5" t="s">
        <v>1247</v>
      </c>
      <c r="N21" s="48"/>
      <c r="O21" s="7" t="s">
        <v>101</v>
      </c>
      <c r="P21" s="5" t="s">
        <v>1041</v>
      </c>
      <c r="Q21" s="5" t="s">
        <v>1071</v>
      </c>
      <c r="R21" s="5" t="s">
        <v>1100</v>
      </c>
      <c r="S21" s="5" t="s">
        <v>1129</v>
      </c>
      <c r="T21" s="5" t="s">
        <v>1159</v>
      </c>
      <c r="U21" s="5" t="s">
        <v>1188</v>
      </c>
      <c r="V21" s="5" t="s">
        <v>1273</v>
      </c>
      <c r="W21" s="5" t="s">
        <v>1216</v>
      </c>
      <c r="X21" s="5" t="s">
        <v>1244</v>
      </c>
    </row>
    <row r="22" spans="1:24" x14ac:dyDescent="0.25">
      <c r="A22" s="48"/>
      <c r="B22" s="7" t="s">
        <v>102</v>
      </c>
      <c r="C22" s="5" t="s">
        <v>1050</v>
      </c>
      <c r="D22" s="5" t="s">
        <v>1079</v>
      </c>
      <c r="E22" s="5" t="s">
        <v>1108</v>
      </c>
      <c r="F22" s="5" t="s">
        <v>1138</v>
      </c>
      <c r="G22" s="5" t="s">
        <v>1167</v>
      </c>
      <c r="H22" s="5" t="s">
        <v>1196</v>
      </c>
      <c r="I22" s="5" t="s">
        <v>1281</v>
      </c>
      <c r="J22" s="5" t="s">
        <v>1224</v>
      </c>
      <c r="K22" s="5" t="s">
        <v>1252</v>
      </c>
      <c r="N22" s="48"/>
      <c r="O22" s="7" t="s">
        <v>102</v>
      </c>
      <c r="P22" s="5" t="s">
        <v>1049</v>
      </c>
      <c r="Q22" s="5" t="s">
        <v>897</v>
      </c>
      <c r="R22" s="5" t="s">
        <v>897</v>
      </c>
      <c r="S22" s="5" t="s">
        <v>897</v>
      </c>
      <c r="T22" s="5" t="s">
        <v>897</v>
      </c>
      <c r="U22" s="5" t="s">
        <v>897</v>
      </c>
      <c r="V22" s="5" t="s">
        <v>897</v>
      </c>
      <c r="W22" s="5" t="s">
        <v>897</v>
      </c>
      <c r="X22" s="5" t="s">
        <v>897</v>
      </c>
    </row>
    <row r="23" spans="1:24" x14ac:dyDescent="0.25">
      <c r="A23" s="48"/>
      <c r="B23" s="7" t="s">
        <v>103</v>
      </c>
      <c r="C23" s="5" t="s">
        <v>1062</v>
      </c>
      <c r="D23" s="5" t="s">
        <v>1091</v>
      </c>
      <c r="E23" s="5" t="s">
        <v>1120</v>
      </c>
      <c r="F23" s="5" t="s">
        <v>1150</v>
      </c>
      <c r="G23" s="5" t="s">
        <v>1179</v>
      </c>
      <c r="H23" s="5" t="s">
        <v>1208</v>
      </c>
      <c r="I23" s="5" t="s">
        <v>1293</v>
      </c>
      <c r="J23" s="5" t="s">
        <v>1236</v>
      </c>
      <c r="K23" s="5" t="s">
        <v>1264</v>
      </c>
      <c r="N23" s="48"/>
      <c r="O23" s="7" t="s">
        <v>103</v>
      </c>
      <c r="P23" s="5" t="s">
        <v>1059</v>
      </c>
      <c r="Q23" s="5" t="s">
        <v>1088</v>
      </c>
      <c r="R23" s="5" t="s">
        <v>1117</v>
      </c>
      <c r="S23" s="5" t="s">
        <v>1147</v>
      </c>
      <c r="T23" s="5" t="s">
        <v>1176</v>
      </c>
      <c r="U23" s="5" t="s">
        <v>1205</v>
      </c>
      <c r="V23" s="5" t="s">
        <v>1290</v>
      </c>
      <c r="W23" s="5" t="s">
        <v>1233</v>
      </c>
      <c r="X23" s="5" t="s">
        <v>1261</v>
      </c>
    </row>
    <row r="24" spans="1:24" x14ac:dyDescent="0.25">
      <c r="A24" s="48"/>
      <c r="B24" s="7" t="s">
        <v>104</v>
      </c>
      <c r="C24" s="5" t="s">
        <v>1058</v>
      </c>
      <c r="D24" s="5" t="s">
        <v>1087</v>
      </c>
      <c r="E24" s="5" t="s">
        <v>1116</v>
      </c>
      <c r="F24" s="5" t="s">
        <v>1146</v>
      </c>
      <c r="G24" s="5" t="s">
        <v>1175</v>
      </c>
      <c r="H24" s="5" t="s">
        <v>1204</v>
      </c>
      <c r="I24" s="5" t="s">
        <v>1289</v>
      </c>
      <c r="J24" s="5" t="s">
        <v>1232</v>
      </c>
      <c r="K24" s="5" t="s">
        <v>1260</v>
      </c>
      <c r="N24" s="48"/>
      <c r="O24" s="7" t="s">
        <v>104</v>
      </c>
      <c r="P24" s="5" t="s">
        <v>1055</v>
      </c>
      <c r="Q24" s="5" t="s">
        <v>1084</v>
      </c>
      <c r="R24" s="5" t="s">
        <v>1113</v>
      </c>
      <c r="S24" s="5" t="s">
        <v>1143</v>
      </c>
      <c r="T24" s="5" t="s">
        <v>1172</v>
      </c>
      <c r="U24" s="5" t="s">
        <v>1201</v>
      </c>
      <c r="V24" s="5" t="s">
        <v>1286</v>
      </c>
      <c r="W24" s="5" t="s">
        <v>1229</v>
      </c>
      <c r="X24" s="5" t="s">
        <v>1257</v>
      </c>
    </row>
    <row r="25" spans="1:24" x14ac:dyDescent="0.25">
      <c r="A25" s="48"/>
      <c r="B25" s="7" t="s">
        <v>105</v>
      </c>
      <c r="C25" s="5" t="s">
        <v>1054</v>
      </c>
      <c r="D25" s="5" t="s">
        <v>1083</v>
      </c>
      <c r="E25" s="5" t="s">
        <v>1112</v>
      </c>
      <c r="F25" s="5" t="s">
        <v>1142</v>
      </c>
      <c r="G25" s="5" t="s">
        <v>1171</v>
      </c>
      <c r="H25" s="5" t="s">
        <v>1200</v>
      </c>
      <c r="I25" s="5" t="s">
        <v>1285</v>
      </c>
      <c r="J25" s="5" t="s">
        <v>1228</v>
      </c>
      <c r="K25" s="5" t="s">
        <v>1256</v>
      </c>
      <c r="N25" s="48"/>
      <c r="O25" s="7" t="s">
        <v>105</v>
      </c>
      <c r="P25" s="5" t="s">
        <v>1051</v>
      </c>
      <c r="Q25" s="5" t="s">
        <v>1080</v>
      </c>
      <c r="R25" s="5" t="s">
        <v>1109</v>
      </c>
      <c r="S25" s="5" t="s">
        <v>1139</v>
      </c>
      <c r="T25" s="5" t="s">
        <v>1168</v>
      </c>
      <c r="U25" s="5" t="s">
        <v>1197</v>
      </c>
      <c r="V25" s="5" t="s">
        <v>1282</v>
      </c>
      <c r="W25" s="5" t="s">
        <v>1225</v>
      </c>
      <c r="X25" s="5" t="s">
        <v>1253</v>
      </c>
    </row>
    <row r="26" spans="1:24" x14ac:dyDescent="0.25">
      <c r="A26" s="48"/>
      <c r="B26" s="7" t="s">
        <v>106</v>
      </c>
      <c r="C26" s="5" t="s">
        <v>1066</v>
      </c>
      <c r="D26" s="5" t="s">
        <v>1095</v>
      </c>
      <c r="E26" s="5" t="s">
        <v>1124</v>
      </c>
      <c r="F26" s="5" t="s">
        <v>1154</v>
      </c>
      <c r="G26" s="5" t="s">
        <v>1183</v>
      </c>
      <c r="H26" s="5" t="s">
        <v>1212</v>
      </c>
      <c r="I26" s="5" t="s">
        <v>1297</v>
      </c>
      <c r="J26" s="5" t="s">
        <v>1239</v>
      </c>
      <c r="K26" s="5" t="s">
        <v>1268</v>
      </c>
      <c r="N26" s="48"/>
      <c r="O26" s="7" t="s">
        <v>106</v>
      </c>
      <c r="P26" s="5" t="s">
        <v>1063</v>
      </c>
      <c r="Q26" s="5" t="s">
        <v>1092</v>
      </c>
      <c r="R26" s="5" t="s">
        <v>1121</v>
      </c>
      <c r="S26" s="5" t="s">
        <v>1151</v>
      </c>
      <c r="T26" s="5" t="s">
        <v>1180</v>
      </c>
      <c r="U26" s="5" t="s">
        <v>1209</v>
      </c>
      <c r="V26" s="5" t="s">
        <v>1294</v>
      </c>
      <c r="W26" s="5" t="s">
        <v>1237</v>
      </c>
      <c r="X26" s="5" t="s">
        <v>1265</v>
      </c>
    </row>
    <row r="28" spans="1:24" x14ac:dyDescent="0.25">
      <c r="A28" s="46" t="s">
        <v>61</v>
      </c>
      <c r="B28" s="46" t="s">
        <v>108</v>
      </c>
      <c r="C28" s="16"/>
      <c r="D28" s="5"/>
      <c r="E28" s="5" t="s">
        <v>114</v>
      </c>
      <c r="F28" s="5"/>
      <c r="G28" s="5"/>
      <c r="H28" s="5"/>
      <c r="I28" s="5"/>
      <c r="J28" s="5"/>
      <c r="K28" s="5"/>
      <c r="N28" s="46" t="s">
        <v>61</v>
      </c>
      <c r="O28" s="46" t="s">
        <v>108</v>
      </c>
      <c r="P28" s="16"/>
      <c r="Q28" s="5"/>
      <c r="R28" s="5" t="s">
        <v>1302</v>
      </c>
      <c r="S28" s="5"/>
      <c r="T28" s="5"/>
      <c r="U28" s="5"/>
      <c r="V28" s="5"/>
      <c r="W28" s="5"/>
      <c r="X28" s="5"/>
    </row>
    <row r="29" spans="1:24" x14ac:dyDescent="0.25">
      <c r="A29" s="46"/>
      <c r="B29" s="47"/>
      <c r="C29" s="16" t="s">
        <v>166</v>
      </c>
      <c r="D29" s="5" t="s">
        <v>167</v>
      </c>
      <c r="E29" s="6" t="s">
        <v>110</v>
      </c>
      <c r="F29" s="6" t="s">
        <v>111</v>
      </c>
      <c r="G29" s="6" t="s">
        <v>112</v>
      </c>
      <c r="H29" s="6" t="s">
        <v>115</v>
      </c>
      <c r="I29" s="6" t="s">
        <v>370</v>
      </c>
      <c r="J29" s="23" t="s">
        <v>253</v>
      </c>
      <c r="K29" s="23" t="s">
        <v>254</v>
      </c>
      <c r="N29" s="46"/>
      <c r="O29" s="47"/>
      <c r="P29" s="16" t="s">
        <v>166</v>
      </c>
      <c r="Q29" s="5" t="s">
        <v>167</v>
      </c>
      <c r="R29" s="6" t="s">
        <v>110</v>
      </c>
      <c r="S29" s="6" t="s">
        <v>111</v>
      </c>
      <c r="T29" s="6" t="s">
        <v>112</v>
      </c>
      <c r="U29" s="6" t="s">
        <v>115</v>
      </c>
      <c r="V29" s="6" t="s">
        <v>370</v>
      </c>
      <c r="W29" s="23" t="s">
        <v>253</v>
      </c>
      <c r="X29" s="23" t="s">
        <v>254</v>
      </c>
    </row>
    <row r="30" spans="1:24" x14ac:dyDescent="0.25">
      <c r="A30" s="48" t="s">
        <v>82</v>
      </c>
      <c r="B30" s="18" t="s">
        <v>84</v>
      </c>
      <c r="C30" s="5" t="s">
        <v>590</v>
      </c>
      <c r="D30" s="5" t="s">
        <v>618</v>
      </c>
      <c r="E30" s="5" t="s">
        <v>646</v>
      </c>
      <c r="F30" s="5" t="s">
        <v>674</v>
      </c>
      <c r="G30" s="5" t="s">
        <v>702</v>
      </c>
      <c r="H30" s="5" t="s">
        <v>729</v>
      </c>
      <c r="I30" s="5" t="s">
        <v>756</v>
      </c>
      <c r="J30" s="5" t="s">
        <v>783</v>
      </c>
      <c r="K30" s="5" t="s">
        <v>811</v>
      </c>
      <c r="N30" s="48" t="s">
        <v>82</v>
      </c>
      <c r="O30" s="18" t="s">
        <v>84</v>
      </c>
      <c r="P30" s="5" t="s">
        <v>589</v>
      </c>
      <c r="Q30" s="5" t="s">
        <v>617</v>
      </c>
      <c r="R30" s="5" t="s">
        <v>645</v>
      </c>
      <c r="S30" s="5" t="s">
        <v>673</v>
      </c>
      <c r="T30" s="5" t="s">
        <v>701</v>
      </c>
      <c r="U30" s="5" t="s">
        <v>728</v>
      </c>
      <c r="V30" s="5" t="s">
        <v>755</v>
      </c>
      <c r="W30" s="5" t="s">
        <v>782</v>
      </c>
      <c r="X30" s="5" t="s">
        <v>810</v>
      </c>
    </row>
    <row r="31" spans="1:24" x14ac:dyDescent="0.25">
      <c r="A31" s="48"/>
      <c r="B31" s="7" t="s">
        <v>85</v>
      </c>
      <c r="C31" s="5" t="s">
        <v>578</v>
      </c>
      <c r="D31" s="5" t="s">
        <v>606</v>
      </c>
      <c r="E31" s="5" t="s">
        <v>634</v>
      </c>
      <c r="F31" s="5" t="s">
        <v>662</v>
      </c>
      <c r="G31" s="5" t="s">
        <v>690</v>
      </c>
      <c r="H31" s="5" t="s">
        <v>718</v>
      </c>
      <c r="I31" s="5" t="s">
        <v>745</v>
      </c>
      <c r="J31" s="5" t="s">
        <v>772</v>
      </c>
      <c r="K31" s="5" t="s">
        <v>799</v>
      </c>
      <c r="N31" s="48"/>
      <c r="O31" s="7" t="s">
        <v>85</v>
      </c>
      <c r="P31" s="5" t="s">
        <v>577</v>
      </c>
      <c r="Q31" s="5" t="s">
        <v>605</v>
      </c>
      <c r="R31" s="5" t="s">
        <v>633</v>
      </c>
      <c r="S31" s="5" t="s">
        <v>661</v>
      </c>
      <c r="T31" s="5" t="s">
        <v>689</v>
      </c>
      <c r="U31" s="5" t="s">
        <v>717</v>
      </c>
      <c r="V31" s="5" t="s">
        <v>744</v>
      </c>
      <c r="W31" s="5" t="s">
        <v>771</v>
      </c>
      <c r="X31" s="5" t="s">
        <v>798</v>
      </c>
    </row>
    <row r="32" spans="1:24" x14ac:dyDescent="0.25">
      <c r="A32" s="48"/>
      <c r="B32" s="7" t="s">
        <v>86</v>
      </c>
      <c r="C32" s="5" t="s">
        <v>574</v>
      </c>
      <c r="D32" s="5" t="s">
        <v>602</v>
      </c>
      <c r="E32" s="5" t="s">
        <v>630</v>
      </c>
      <c r="F32" s="5" t="s">
        <v>658</v>
      </c>
      <c r="G32" s="5" t="s">
        <v>686</v>
      </c>
      <c r="H32" s="5" t="s">
        <v>714</v>
      </c>
      <c r="I32" s="5" t="s">
        <v>741</v>
      </c>
      <c r="J32" s="5" t="s">
        <v>768</v>
      </c>
      <c r="K32" s="5" t="s">
        <v>795</v>
      </c>
      <c r="N32" s="48"/>
      <c r="O32" s="7" t="s">
        <v>86</v>
      </c>
      <c r="P32" s="5" t="s">
        <v>573</v>
      </c>
      <c r="Q32" s="5" t="s">
        <v>601</v>
      </c>
      <c r="R32" s="5" t="s">
        <v>629</v>
      </c>
      <c r="S32" s="5" t="s">
        <v>657</v>
      </c>
      <c r="T32" s="5" t="s">
        <v>685</v>
      </c>
      <c r="U32" s="5" t="s">
        <v>713</v>
      </c>
      <c r="V32" s="5" t="s">
        <v>740</v>
      </c>
      <c r="W32" s="5" t="s">
        <v>767</v>
      </c>
      <c r="X32" s="5" t="s">
        <v>794</v>
      </c>
    </row>
    <row r="33" spans="1:24" x14ac:dyDescent="0.25">
      <c r="A33" s="48"/>
      <c r="B33" s="7" t="s">
        <v>87</v>
      </c>
      <c r="C33" s="5" t="s">
        <v>582</v>
      </c>
      <c r="D33" s="5" t="s">
        <v>610</v>
      </c>
      <c r="E33" s="5" t="s">
        <v>638</v>
      </c>
      <c r="F33" s="5" t="s">
        <v>666</v>
      </c>
      <c r="G33" s="5" t="s">
        <v>694</v>
      </c>
      <c r="H33" s="5" t="s">
        <v>721</v>
      </c>
      <c r="I33" s="5" t="s">
        <v>748</v>
      </c>
      <c r="J33" s="5" t="s">
        <v>775</v>
      </c>
      <c r="K33" s="5" t="s">
        <v>803</v>
      </c>
      <c r="N33" s="48"/>
      <c r="O33" s="7" t="s">
        <v>87</v>
      </c>
      <c r="P33" s="5" t="s">
        <v>581</v>
      </c>
      <c r="Q33" s="5" t="s">
        <v>609</v>
      </c>
      <c r="R33" s="5" t="s">
        <v>637</v>
      </c>
      <c r="S33" s="5" t="s">
        <v>665</v>
      </c>
      <c r="T33" s="5" t="s">
        <v>693</v>
      </c>
      <c r="U33" s="5" t="s">
        <v>693</v>
      </c>
      <c r="V33" s="5" t="s">
        <v>747</v>
      </c>
      <c r="W33" s="5" t="s">
        <v>774</v>
      </c>
      <c r="X33" s="5" t="s">
        <v>802</v>
      </c>
    </row>
    <row r="34" spans="1:24" x14ac:dyDescent="0.25">
      <c r="A34" s="48"/>
      <c r="B34" s="7" t="s">
        <v>88</v>
      </c>
      <c r="C34" s="5" t="s">
        <v>566</v>
      </c>
      <c r="D34" s="5" t="s">
        <v>594</v>
      </c>
      <c r="E34" s="5" t="s">
        <v>622</v>
      </c>
      <c r="F34" s="5" t="s">
        <v>650</v>
      </c>
      <c r="G34" s="5" t="s">
        <v>678</v>
      </c>
      <c r="H34" s="5" t="s">
        <v>706</v>
      </c>
      <c r="I34" s="5" t="s">
        <v>733</v>
      </c>
      <c r="J34" s="5" t="s">
        <v>760</v>
      </c>
      <c r="K34" s="5" t="s">
        <v>787</v>
      </c>
      <c r="N34" s="48"/>
      <c r="O34" s="7" t="s">
        <v>88</v>
      </c>
      <c r="P34" s="5" t="s">
        <v>565</v>
      </c>
      <c r="Q34" s="5" t="s">
        <v>593</v>
      </c>
      <c r="R34" s="5" t="s">
        <v>621</v>
      </c>
      <c r="S34" s="5" t="s">
        <v>649</v>
      </c>
      <c r="T34" s="5" t="s">
        <v>677</v>
      </c>
      <c r="U34" s="5" t="s">
        <v>705</v>
      </c>
      <c r="V34" s="5" t="s">
        <v>732</v>
      </c>
      <c r="W34" s="5" t="s">
        <v>759</v>
      </c>
      <c r="X34" s="5" t="s">
        <v>786</v>
      </c>
    </row>
    <row r="35" spans="1:24" x14ac:dyDescent="0.25">
      <c r="A35" s="48"/>
      <c r="B35" s="7" t="s">
        <v>89</v>
      </c>
      <c r="C35" s="5" t="s">
        <v>586</v>
      </c>
      <c r="D35" s="5" t="s">
        <v>614</v>
      </c>
      <c r="E35" s="5" t="s">
        <v>642</v>
      </c>
      <c r="F35" s="5" t="s">
        <v>670</v>
      </c>
      <c r="G35" s="5" t="s">
        <v>698</v>
      </c>
      <c r="H35" s="5" t="s">
        <v>725</v>
      </c>
      <c r="I35" s="5" t="s">
        <v>752</v>
      </c>
      <c r="J35" s="5" t="s">
        <v>779</v>
      </c>
      <c r="K35" s="5" t="s">
        <v>807</v>
      </c>
      <c r="N35" s="48"/>
      <c r="O35" s="7" t="s">
        <v>89</v>
      </c>
      <c r="P35" s="5" t="s">
        <v>585</v>
      </c>
      <c r="Q35" s="5" t="s">
        <v>613</v>
      </c>
      <c r="R35" s="5" t="s">
        <v>641</v>
      </c>
      <c r="S35" s="5" t="s">
        <v>669</v>
      </c>
      <c r="T35" s="5" t="s">
        <v>697</v>
      </c>
      <c r="U35" s="5" t="s">
        <v>724</v>
      </c>
      <c r="V35" s="5" t="s">
        <v>751</v>
      </c>
      <c r="W35" s="5" t="s">
        <v>778</v>
      </c>
      <c r="X35" s="5" t="s">
        <v>806</v>
      </c>
    </row>
    <row r="36" spans="1:24" x14ac:dyDescent="0.25">
      <c r="A36" s="48"/>
      <c r="B36" s="7" t="s">
        <v>90</v>
      </c>
      <c r="C36" s="5" t="s">
        <v>570</v>
      </c>
      <c r="D36" s="5" t="s">
        <v>598</v>
      </c>
      <c r="E36" s="5" t="s">
        <v>626</v>
      </c>
      <c r="F36" s="5" t="s">
        <v>654</v>
      </c>
      <c r="G36" s="5" t="s">
        <v>682</v>
      </c>
      <c r="H36" s="5" t="s">
        <v>710</v>
      </c>
      <c r="I36" s="5" t="s">
        <v>737</v>
      </c>
      <c r="J36" s="5" t="s">
        <v>764</v>
      </c>
      <c r="K36" s="5" t="s">
        <v>791</v>
      </c>
      <c r="N36" s="48"/>
      <c r="O36" s="7" t="s">
        <v>90</v>
      </c>
      <c r="P36" s="5" t="s">
        <v>569</v>
      </c>
      <c r="Q36" s="5" t="s">
        <v>597</v>
      </c>
      <c r="R36" s="5" t="s">
        <v>625</v>
      </c>
      <c r="S36" s="5" t="s">
        <v>653</v>
      </c>
      <c r="T36" s="5" t="s">
        <v>681</v>
      </c>
      <c r="U36" s="5" t="s">
        <v>709</v>
      </c>
      <c r="V36" s="5" t="s">
        <v>736</v>
      </c>
      <c r="W36" s="5" t="s">
        <v>763</v>
      </c>
      <c r="X36" s="5" t="s">
        <v>790</v>
      </c>
    </row>
    <row r="37" spans="1:24" x14ac:dyDescent="0.25">
      <c r="A37" s="48" t="s">
        <v>83</v>
      </c>
      <c r="B37" s="7" t="s">
        <v>91</v>
      </c>
      <c r="C37" s="5" t="s">
        <v>835</v>
      </c>
      <c r="D37" s="5" t="s">
        <v>866</v>
      </c>
      <c r="E37" s="5" t="s">
        <v>898</v>
      </c>
      <c r="F37" s="5" t="s">
        <v>864</v>
      </c>
      <c r="G37" s="5" t="s">
        <v>948</v>
      </c>
      <c r="H37" s="5" t="s">
        <v>926</v>
      </c>
      <c r="I37" s="5" t="s">
        <v>894</v>
      </c>
      <c r="J37" s="5" t="s">
        <v>1004</v>
      </c>
      <c r="K37" s="5" t="s">
        <v>1030</v>
      </c>
      <c r="N37" s="48" t="s">
        <v>83</v>
      </c>
      <c r="O37" s="7" t="s">
        <v>91</v>
      </c>
      <c r="P37" s="5" t="s">
        <v>834</v>
      </c>
      <c r="Q37" s="5" t="s">
        <v>818</v>
      </c>
      <c r="R37" s="5" t="s">
        <v>897</v>
      </c>
      <c r="S37" s="5" t="s">
        <v>818</v>
      </c>
      <c r="T37" s="5" t="s">
        <v>818</v>
      </c>
      <c r="U37" s="5" t="s">
        <v>818</v>
      </c>
      <c r="V37" s="5" t="s">
        <v>897</v>
      </c>
      <c r="W37" s="5" t="s">
        <v>950</v>
      </c>
      <c r="X37" s="5" t="s">
        <v>897</v>
      </c>
    </row>
    <row r="38" spans="1:24" x14ac:dyDescent="0.25">
      <c r="A38" s="48"/>
      <c r="B38" s="7" t="s">
        <v>92</v>
      </c>
      <c r="C38" s="5" t="s">
        <v>839</v>
      </c>
      <c r="D38" s="5" t="s">
        <v>869</v>
      </c>
      <c r="E38" s="5" t="s">
        <v>900</v>
      </c>
      <c r="F38" s="5" t="s">
        <v>926</v>
      </c>
      <c r="G38" s="5" t="s">
        <v>951</v>
      </c>
      <c r="H38" s="5" t="s">
        <v>968</v>
      </c>
      <c r="I38" s="5" t="s">
        <v>983</v>
      </c>
      <c r="J38" s="5" t="s">
        <v>1006</v>
      </c>
      <c r="K38" s="5" t="s">
        <v>869</v>
      </c>
      <c r="N38" s="48"/>
      <c r="O38" s="7" t="s">
        <v>92</v>
      </c>
      <c r="P38" s="5" t="s">
        <v>838</v>
      </c>
      <c r="Q38" s="5" t="s">
        <v>834</v>
      </c>
      <c r="R38" s="5" t="s">
        <v>818</v>
      </c>
      <c r="S38" s="5" t="s">
        <v>818</v>
      </c>
      <c r="T38" s="5" t="s">
        <v>950</v>
      </c>
      <c r="U38" s="5" t="s">
        <v>967</v>
      </c>
      <c r="V38" s="5" t="s">
        <v>818</v>
      </c>
      <c r="W38" s="5" t="s">
        <v>950</v>
      </c>
      <c r="X38" s="5" t="s">
        <v>950</v>
      </c>
    </row>
    <row r="39" spans="1:24" x14ac:dyDescent="0.25">
      <c r="A39" s="48"/>
      <c r="B39" s="7" t="s">
        <v>93</v>
      </c>
      <c r="C39" s="5" t="s">
        <v>819</v>
      </c>
      <c r="D39" s="5" t="s">
        <v>854</v>
      </c>
      <c r="E39" s="5" t="s">
        <v>884</v>
      </c>
      <c r="F39" s="5" t="s">
        <v>914</v>
      </c>
      <c r="G39" s="5" t="s">
        <v>940</v>
      </c>
      <c r="H39" s="5" t="s">
        <v>864</v>
      </c>
      <c r="I39" s="5" t="s">
        <v>863</v>
      </c>
      <c r="J39" s="5" t="s">
        <v>925</v>
      </c>
      <c r="K39" s="5" t="s">
        <v>863</v>
      </c>
      <c r="N39" s="48"/>
      <c r="O39" s="7" t="s">
        <v>93</v>
      </c>
      <c r="P39" s="5" t="s">
        <v>818</v>
      </c>
      <c r="Q39" s="5" t="s">
        <v>853</v>
      </c>
      <c r="R39" s="5" t="s">
        <v>853</v>
      </c>
      <c r="S39" s="5" t="s">
        <v>853</v>
      </c>
      <c r="T39" s="5" t="s">
        <v>939</v>
      </c>
      <c r="U39" s="5" t="s">
        <v>818</v>
      </c>
      <c r="V39" s="5" t="s">
        <v>939</v>
      </c>
      <c r="W39" s="5" t="s">
        <v>939</v>
      </c>
      <c r="X39" s="5" t="s">
        <v>939</v>
      </c>
    </row>
    <row r="40" spans="1:24" x14ac:dyDescent="0.25">
      <c r="A40" s="48"/>
      <c r="B40" s="7" t="s">
        <v>94</v>
      </c>
      <c r="C40" s="5" t="s">
        <v>815</v>
      </c>
      <c r="D40" s="5" t="s">
        <v>850</v>
      </c>
      <c r="E40" s="5" t="s">
        <v>881</v>
      </c>
      <c r="F40" s="5" t="s">
        <v>911</v>
      </c>
      <c r="G40" s="5" t="s">
        <v>937</v>
      </c>
      <c r="H40" s="5" t="s">
        <v>937</v>
      </c>
      <c r="I40" s="5" t="s">
        <v>937</v>
      </c>
      <c r="J40" s="5" t="s">
        <v>992</v>
      </c>
      <c r="K40" s="5" t="s">
        <v>1017</v>
      </c>
      <c r="N40" s="48"/>
      <c r="O40" s="7" t="s">
        <v>94</v>
      </c>
      <c r="P40" s="5" t="s">
        <v>814</v>
      </c>
      <c r="Q40" s="5" t="s">
        <v>849</v>
      </c>
      <c r="R40" s="5" t="s">
        <v>880</v>
      </c>
      <c r="S40" s="5" t="s">
        <v>910</v>
      </c>
      <c r="T40" s="5" t="s">
        <v>936</v>
      </c>
      <c r="U40" s="5" t="s">
        <v>936</v>
      </c>
      <c r="V40" s="5" t="s">
        <v>936</v>
      </c>
      <c r="W40" s="5" t="s">
        <v>991</v>
      </c>
      <c r="X40" s="5" t="s">
        <v>1016</v>
      </c>
    </row>
    <row r="41" spans="1:24" x14ac:dyDescent="0.25">
      <c r="A41" s="48"/>
      <c r="B41" s="7" t="s">
        <v>95</v>
      </c>
      <c r="C41" s="5" t="s">
        <v>831</v>
      </c>
      <c r="D41" s="5" t="s">
        <v>864</v>
      </c>
      <c r="E41" s="5" t="s">
        <v>894</v>
      </c>
      <c r="F41" s="5" t="s">
        <v>868</v>
      </c>
      <c r="G41" s="5" t="s">
        <v>819</v>
      </c>
      <c r="H41" s="5" t="s">
        <v>819</v>
      </c>
      <c r="I41" s="5" t="s">
        <v>894</v>
      </c>
      <c r="J41" s="5" t="s">
        <v>1002</v>
      </c>
      <c r="K41" s="5" t="s">
        <v>1002</v>
      </c>
      <c r="N41" s="48"/>
      <c r="O41" s="7" t="s">
        <v>95</v>
      </c>
      <c r="P41" s="5" t="s">
        <v>830</v>
      </c>
      <c r="Q41" s="5" t="s">
        <v>818</v>
      </c>
      <c r="R41" s="5" t="s">
        <v>818</v>
      </c>
      <c r="S41" s="5" t="s">
        <v>818</v>
      </c>
      <c r="T41" s="5" t="s">
        <v>818</v>
      </c>
      <c r="U41" s="5" t="s">
        <v>818</v>
      </c>
      <c r="V41" s="5" t="s">
        <v>818</v>
      </c>
      <c r="W41" s="5" t="s">
        <v>818</v>
      </c>
      <c r="X41" s="5" t="s">
        <v>818</v>
      </c>
    </row>
    <row r="42" spans="1:24" x14ac:dyDescent="0.25">
      <c r="A42" s="48"/>
      <c r="B42" s="7" t="s">
        <v>96</v>
      </c>
      <c r="C42" s="5" t="s">
        <v>823</v>
      </c>
      <c r="D42" s="5" t="s">
        <v>857</v>
      </c>
      <c r="E42" s="5" t="s">
        <v>887</v>
      </c>
      <c r="F42" s="5" t="s">
        <v>857</v>
      </c>
      <c r="G42" s="5" t="s">
        <v>943</v>
      </c>
      <c r="H42" s="5" t="s">
        <v>961</v>
      </c>
      <c r="I42" s="5" t="s">
        <v>979</v>
      </c>
      <c r="J42" s="5" t="s">
        <v>996</v>
      </c>
      <c r="K42" s="5" t="s">
        <v>1022</v>
      </c>
      <c r="N42" s="48"/>
      <c r="O42" s="7" t="s">
        <v>96</v>
      </c>
      <c r="P42" s="5" t="s">
        <v>822</v>
      </c>
      <c r="Q42" s="5" t="s">
        <v>852</v>
      </c>
      <c r="R42" s="5" t="s">
        <v>883</v>
      </c>
      <c r="S42" s="5" t="s">
        <v>852</v>
      </c>
      <c r="T42" s="5" t="s">
        <v>872</v>
      </c>
      <c r="U42" s="5" t="s">
        <v>872</v>
      </c>
      <c r="V42" s="5" t="s">
        <v>883</v>
      </c>
      <c r="W42" s="5" t="s">
        <v>884</v>
      </c>
      <c r="X42" s="5" t="s">
        <v>1021</v>
      </c>
    </row>
    <row r="43" spans="1:24" x14ac:dyDescent="0.25">
      <c r="A43" s="48"/>
      <c r="B43" s="7" t="s">
        <v>97</v>
      </c>
      <c r="C43" s="5" t="s">
        <v>847</v>
      </c>
      <c r="D43" s="5" t="s">
        <v>877</v>
      </c>
      <c r="E43" s="5" t="s">
        <v>907</v>
      </c>
      <c r="F43" s="5" t="s">
        <v>933</v>
      </c>
      <c r="G43" s="5" t="s">
        <v>958</v>
      </c>
      <c r="H43" s="5" t="s">
        <v>975</v>
      </c>
      <c r="I43" s="5" t="s">
        <v>907</v>
      </c>
      <c r="J43" s="5" t="s">
        <v>1013</v>
      </c>
      <c r="K43" s="5" t="s">
        <v>1039</v>
      </c>
      <c r="N43" s="48"/>
      <c r="O43" s="7" t="s">
        <v>97</v>
      </c>
      <c r="P43" s="5" t="s">
        <v>846</v>
      </c>
      <c r="Q43" s="5" t="s">
        <v>876</v>
      </c>
      <c r="R43" s="5" t="s">
        <v>876</v>
      </c>
      <c r="S43" s="5" t="s">
        <v>932</v>
      </c>
      <c r="T43" s="5" t="s">
        <v>876</v>
      </c>
      <c r="U43" s="5" t="s">
        <v>974</v>
      </c>
      <c r="V43" s="5" t="s">
        <v>988</v>
      </c>
      <c r="W43" s="5" t="s">
        <v>1012</v>
      </c>
      <c r="X43" s="5" t="s">
        <v>1038</v>
      </c>
    </row>
    <row r="44" spans="1:24" x14ac:dyDescent="0.25">
      <c r="A44" s="48"/>
      <c r="B44" s="7" t="s">
        <v>98</v>
      </c>
      <c r="C44" s="5" t="s">
        <v>827</v>
      </c>
      <c r="D44" s="5" t="s">
        <v>861</v>
      </c>
      <c r="E44" s="5" t="s">
        <v>891</v>
      </c>
      <c r="F44" s="5" t="s">
        <v>920</v>
      </c>
      <c r="G44" s="5" t="s">
        <v>946</v>
      </c>
      <c r="H44" s="5" t="s">
        <v>946</v>
      </c>
      <c r="I44" s="5" t="s">
        <v>946</v>
      </c>
      <c r="J44" s="5" t="s">
        <v>1000</v>
      </c>
      <c r="K44" s="5" t="s">
        <v>1026</v>
      </c>
      <c r="N44" s="48"/>
      <c r="O44" s="7" t="s">
        <v>98</v>
      </c>
      <c r="P44" s="5" t="s">
        <v>826</v>
      </c>
      <c r="Q44" s="5" t="s">
        <v>860</v>
      </c>
      <c r="R44" s="5" t="s">
        <v>890</v>
      </c>
      <c r="S44" s="5" t="s">
        <v>919</v>
      </c>
      <c r="T44" s="5" t="s">
        <v>945</v>
      </c>
      <c r="U44" s="5" t="s">
        <v>945</v>
      </c>
      <c r="V44" s="5" t="s">
        <v>945</v>
      </c>
      <c r="W44" s="5" t="s">
        <v>999</v>
      </c>
      <c r="X44" s="5" t="s">
        <v>1025</v>
      </c>
    </row>
    <row r="45" spans="1:24" x14ac:dyDescent="0.25">
      <c r="A45" s="48"/>
      <c r="B45" s="7" t="s">
        <v>113</v>
      </c>
      <c r="C45" s="5" t="s">
        <v>843</v>
      </c>
      <c r="D45" s="5" t="s">
        <v>873</v>
      </c>
      <c r="E45" s="5" t="s">
        <v>904</v>
      </c>
      <c r="F45" s="5" t="s">
        <v>929</v>
      </c>
      <c r="G45" s="5" t="s">
        <v>955</v>
      </c>
      <c r="H45" s="5" t="s">
        <v>972</v>
      </c>
      <c r="I45" s="5" t="s">
        <v>904</v>
      </c>
      <c r="J45" s="5" t="s">
        <v>747</v>
      </c>
      <c r="K45" s="5" t="s">
        <v>1035</v>
      </c>
      <c r="N45" s="48"/>
      <c r="O45" s="7" t="s">
        <v>113</v>
      </c>
      <c r="P45" s="5" t="s">
        <v>842</v>
      </c>
      <c r="Q45" s="5" t="s">
        <v>872</v>
      </c>
      <c r="R45" s="5" t="s">
        <v>903</v>
      </c>
      <c r="S45" s="5" t="s">
        <v>928</v>
      </c>
      <c r="T45" s="5" t="s">
        <v>954</v>
      </c>
      <c r="U45" s="5" t="s">
        <v>971</v>
      </c>
      <c r="V45" s="5" t="s">
        <v>903</v>
      </c>
      <c r="W45" s="5" t="s">
        <v>1009</v>
      </c>
      <c r="X45" s="5" t="s">
        <v>1034</v>
      </c>
    </row>
    <row r="46" spans="1:24" x14ac:dyDescent="0.25">
      <c r="A46" s="48" t="s">
        <v>107</v>
      </c>
      <c r="B46" s="7" t="s">
        <v>99</v>
      </c>
      <c r="C46" s="5" t="s">
        <v>1069</v>
      </c>
      <c r="D46" s="5" t="s">
        <v>1098</v>
      </c>
      <c r="E46" s="5" t="s">
        <v>1127</v>
      </c>
      <c r="F46" s="5" t="s">
        <v>1157</v>
      </c>
      <c r="G46" s="5" t="s">
        <v>1186</v>
      </c>
      <c r="H46" s="5" t="s">
        <v>1214</v>
      </c>
      <c r="I46" s="5" t="s">
        <v>1300</v>
      </c>
      <c r="J46" s="5" t="s">
        <v>1242</v>
      </c>
      <c r="K46" s="5" t="s">
        <v>1271</v>
      </c>
      <c r="N46" s="48" t="s">
        <v>107</v>
      </c>
      <c r="O46" s="7" t="s">
        <v>99</v>
      </c>
      <c r="P46" s="5" t="s">
        <v>1068</v>
      </c>
      <c r="Q46" s="5" t="s">
        <v>1097</v>
      </c>
      <c r="R46" s="5" t="s">
        <v>1126</v>
      </c>
      <c r="S46" s="5" t="s">
        <v>1156</v>
      </c>
      <c r="T46" s="5" t="s">
        <v>1185</v>
      </c>
      <c r="U46" s="5" t="s">
        <v>1213</v>
      </c>
      <c r="V46" s="5" t="s">
        <v>1299</v>
      </c>
      <c r="W46" s="5" t="s">
        <v>1241</v>
      </c>
      <c r="X46" s="5" t="s">
        <v>1270</v>
      </c>
    </row>
    <row r="47" spans="1:24" x14ac:dyDescent="0.25">
      <c r="A47" s="48"/>
      <c r="B47" s="7" t="s">
        <v>100</v>
      </c>
      <c r="C47" s="5" t="s">
        <v>1047</v>
      </c>
      <c r="D47" s="5" t="s">
        <v>1077</v>
      </c>
      <c r="E47" s="5" t="s">
        <v>1106</v>
      </c>
      <c r="F47" s="5" t="s">
        <v>1135</v>
      </c>
      <c r="G47" s="5" t="s">
        <v>1165</v>
      </c>
      <c r="H47" s="5" t="s">
        <v>1194</v>
      </c>
      <c r="I47" s="5" t="s">
        <v>1279</v>
      </c>
      <c r="J47" s="5" t="s">
        <v>1222</v>
      </c>
      <c r="K47" s="5" t="s">
        <v>1250</v>
      </c>
      <c r="N47" s="48"/>
      <c r="O47" s="7" t="s">
        <v>100</v>
      </c>
      <c r="P47" s="5" t="s">
        <v>1046</v>
      </c>
      <c r="Q47" s="5" t="s">
        <v>1076</v>
      </c>
      <c r="R47" s="5" t="s">
        <v>1105</v>
      </c>
      <c r="S47" s="5" t="s">
        <v>1134</v>
      </c>
      <c r="T47" s="5" t="s">
        <v>1164</v>
      </c>
      <c r="U47" s="5" t="s">
        <v>1193</v>
      </c>
      <c r="V47" s="5" t="s">
        <v>1278</v>
      </c>
      <c r="W47" s="5" t="s">
        <v>1221</v>
      </c>
      <c r="X47" s="5" t="s">
        <v>1249</v>
      </c>
    </row>
    <row r="48" spans="1:24" x14ac:dyDescent="0.25">
      <c r="A48" s="48"/>
      <c r="B48" s="7" t="s">
        <v>101</v>
      </c>
      <c r="C48" s="5" t="s">
        <v>1043</v>
      </c>
      <c r="D48" s="5" t="s">
        <v>1073</v>
      </c>
      <c r="E48" s="5" t="s">
        <v>1102</v>
      </c>
      <c r="F48" s="5" t="s">
        <v>1131</v>
      </c>
      <c r="G48" s="5" t="s">
        <v>1161</v>
      </c>
      <c r="H48" s="5" t="s">
        <v>1190</v>
      </c>
      <c r="I48" s="5" t="s">
        <v>1275</v>
      </c>
      <c r="J48" s="5" t="s">
        <v>1218</v>
      </c>
      <c r="K48" s="5" t="s">
        <v>1246</v>
      </c>
      <c r="N48" s="48"/>
      <c r="O48" s="7" t="s">
        <v>101</v>
      </c>
      <c r="P48" s="5" t="s">
        <v>1042</v>
      </c>
      <c r="Q48" s="5" t="s">
        <v>1072</v>
      </c>
      <c r="R48" s="5" t="s">
        <v>1101</v>
      </c>
      <c r="S48" s="5" t="s">
        <v>1130</v>
      </c>
      <c r="T48" s="5" t="s">
        <v>1160</v>
      </c>
      <c r="U48" s="5" t="s">
        <v>1189</v>
      </c>
      <c r="V48" s="5" t="s">
        <v>1274</v>
      </c>
      <c r="W48" s="5" t="s">
        <v>1217</v>
      </c>
      <c r="X48" s="5" t="s">
        <v>1245</v>
      </c>
    </row>
    <row r="49" spans="1:24" x14ac:dyDescent="0.25">
      <c r="A49" s="48"/>
      <c r="B49" s="7" t="s">
        <v>102</v>
      </c>
      <c r="C49" s="5" t="s">
        <v>872</v>
      </c>
      <c r="D49" s="5" t="s">
        <v>967</v>
      </c>
      <c r="E49" s="5" t="s">
        <v>967</v>
      </c>
      <c r="F49" s="5" t="s">
        <v>1137</v>
      </c>
      <c r="G49" s="5" t="s">
        <v>967</v>
      </c>
      <c r="H49" s="5" t="s">
        <v>967</v>
      </c>
      <c r="I49" s="5" t="s">
        <v>897</v>
      </c>
      <c r="J49" s="5" t="s">
        <v>1137</v>
      </c>
      <c r="K49" s="5" t="s">
        <v>967</v>
      </c>
      <c r="N49" s="48"/>
      <c r="O49" s="7" t="s">
        <v>102</v>
      </c>
      <c r="P49" s="5" t="s">
        <v>853</v>
      </c>
      <c r="Q49" s="5" t="s">
        <v>853</v>
      </c>
      <c r="R49" s="5" t="s">
        <v>853</v>
      </c>
      <c r="S49" s="5" t="s">
        <v>853</v>
      </c>
      <c r="T49" s="5" t="s">
        <v>853</v>
      </c>
      <c r="U49" s="5" t="s">
        <v>853</v>
      </c>
      <c r="V49" s="5" t="s">
        <v>853</v>
      </c>
      <c r="W49" s="5" t="s">
        <v>853</v>
      </c>
      <c r="X49" s="5" t="s">
        <v>853</v>
      </c>
    </row>
    <row r="50" spans="1:24" x14ac:dyDescent="0.25">
      <c r="A50" s="48"/>
      <c r="B50" s="7" t="s">
        <v>103</v>
      </c>
      <c r="C50" s="5" t="s">
        <v>1061</v>
      </c>
      <c r="D50" s="5" t="s">
        <v>1090</v>
      </c>
      <c r="E50" s="5" t="s">
        <v>1119</v>
      </c>
      <c r="F50" s="5" t="s">
        <v>1149</v>
      </c>
      <c r="G50" s="5" t="s">
        <v>1178</v>
      </c>
      <c r="H50" s="5" t="s">
        <v>1207</v>
      </c>
      <c r="I50" s="5" t="s">
        <v>1292</v>
      </c>
      <c r="J50" s="5" t="s">
        <v>1235</v>
      </c>
      <c r="K50" s="5" t="s">
        <v>1263</v>
      </c>
      <c r="N50" s="48"/>
      <c r="O50" s="7" t="s">
        <v>103</v>
      </c>
      <c r="P50" s="5" t="s">
        <v>1060</v>
      </c>
      <c r="Q50" s="5" t="s">
        <v>1089</v>
      </c>
      <c r="R50" s="5" t="s">
        <v>1118</v>
      </c>
      <c r="S50" s="5" t="s">
        <v>1148</v>
      </c>
      <c r="T50" s="5" t="s">
        <v>1177</v>
      </c>
      <c r="U50" s="5" t="s">
        <v>1206</v>
      </c>
      <c r="V50" s="5" t="s">
        <v>1291</v>
      </c>
      <c r="W50" s="5" t="s">
        <v>1234</v>
      </c>
      <c r="X50" s="5" t="s">
        <v>1262</v>
      </c>
    </row>
    <row r="51" spans="1:24" x14ac:dyDescent="0.25">
      <c r="A51" s="48"/>
      <c r="B51" s="7" t="s">
        <v>104</v>
      </c>
      <c r="C51" s="5" t="s">
        <v>1057</v>
      </c>
      <c r="D51" s="5" t="s">
        <v>1086</v>
      </c>
      <c r="E51" s="5" t="s">
        <v>1115</v>
      </c>
      <c r="F51" s="5" t="s">
        <v>1145</v>
      </c>
      <c r="G51" s="5" t="s">
        <v>1174</v>
      </c>
      <c r="H51" s="5" t="s">
        <v>1203</v>
      </c>
      <c r="I51" s="5" t="s">
        <v>1288</v>
      </c>
      <c r="J51" s="5" t="s">
        <v>1231</v>
      </c>
      <c r="K51" s="5" t="s">
        <v>1259</v>
      </c>
      <c r="N51" s="48"/>
      <c r="O51" s="7" t="s">
        <v>104</v>
      </c>
      <c r="P51" s="5" t="s">
        <v>1056</v>
      </c>
      <c r="Q51" s="5" t="s">
        <v>1085</v>
      </c>
      <c r="R51" s="5" t="s">
        <v>1114</v>
      </c>
      <c r="S51" s="5" t="s">
        <v>1144</v>
      </c>
      <c r="T51" s="5" t="s">
        <v>1173</v>
      </c>
      <c r="U51" s="5" t="s">
        <v>1202</v>
      </c>
      <c r="V51" s="5" t="s">
        <v>1287</v>
      </c>
      <c r="W51" s="5" t="s">
        <v>1230</v>
      </c>
      <c r="X51" s="5" t="s">
        <v>1258</v>
      </c>
    </row>
    <row r="52" spans="1:24" x14ac:dyDescent="0.25">
      <c r="A52" s="48"/>
      <c r="B52" s="7" t="s">
        <v>105</v>
      </c>
      <c r="C52" s="5" t="s">
        <v>1053</v>
      </c>
      <c r="D52" s="5" t="s">
        <v>1082</v>
      </c>
      <c r="E52" s="5" t="s">
        <v>1111</v>
      </c>
      <c r="F52" s="5" t="s">
        <v>1141</v>
      </c>
      <c r="G52" s="5" t="s">
        <v>1170</v>
      </c>
      <c r="H52" s="5" t="s">
        <v>1199</v>
      </c>
      <c r="I52" s="5" t="s">
        <v>1284</v>
      </c>
      <c r="J52" s="5" t="s">
        <v>1227</v>
      </c>
      <c r="K52" s="5" t="s">
        <v>1255</v>
      </c>
      <c r="N52" s="48"/>
      <c r="O52" s="7" t="s">
        <v>105</v>
      </c>
      <c r="P52" s="5" t="s">
        <v>1052</v>
      </c>
      <c r="Q52" s="5" t="s">
        <v>1081</v>
      </c>
      <c r="R52" s="5" t="s">
        <v>1110</v>
      </c>
      <c r="S52" s="5" t="s">
        <v>1140</v>
      </c>
      <c r="T52" s="5" t="s">
        <v>1169</v>
      </c>
      <c r="U52" s="5" t="s">
        <v>1198</v>
      </c>
      <c r="V52" s="5" t="s">
        <v>1283</v>
      </c>
      <c r="W52" s="5" t="s">
        <v>1226</v>
      </c>
      <c r="X52" s="5" t="s">
        <v>1254</v>
      </c>
    </row>
    <row r="53" spans="1:24" x14ac:dyDescent="0.25">
      <c r="A53" s="48"/>
      <c r="B53" s="7" t="s">
        <v>106</v>
      </c>
      <c r="C53" s="5" t="s">
        <v>1065</v>
      </c>
      <c r="D53" s="5" t="s">
        <v>1094</v>
      </c>
      <c r="E53" s="5" t="s">
        <v>1123</v>
      </c>
      <c r="F53" s="5" t="s">
        <v>1153</v>
      </c>
      <c r="G53" s="5" t="s">
        <v>1182</v>
      </c>
      <c r="H53" s="5" t="s">
        <v>1211</v>
      </c>
      <c r="I53" s="5" t="s">
        <v>1296</v>
      </c>
      <c r="J53" s="5" t="s">
        <v>1026</v>
      </c>
      <c r="K53" s="5" t="s">
        <v>1267</v>
      </c>
      <c r="N53" s="48"/>
      <c r="O53" s="7" t="s">
        <v>106</v>
      </c>
      <c r="P53" s="5" t="s">
        <v>1064</v>
      </c>
      <c r="Q53" s="5" t="s">
        <v>1093</v>
      </c>
      <c r="R53" s="5" t="s">
        <v>1122</v>
      </c>
      <c r="S53" s="5" t="s">
        <v>1152</v>
      </c>
      <c r="T53" s="5" t="s">
        <v>1181</v>
      </c>
      <c r="U53" s="5" t="s">
        <v>1210</v>
      </c>
      <c r="V53" s="5" t="s">
        <v>1295</v>
      </c>
      <c r="W53" s="5" t="s">
        <v>1238</v>
      </c>
      <c r="X53" s="5" t="s">
        <v>1266</v>
      </c>
    </row>
  </sheetData>
  <mergeCells count="20">
    <mergeCell ref="A3:A9"/>
    <mergeCell ref="A10:A18"/>
    <mergeCell ref="A19:A26"/>
    <mergeCell ref="A1:A2"/>
    <mergeCell ref="B1:B2"/>
    <mergeCell ref="A28:A29"/>
    <mergeCell ref="B28:B29"/>
    <mergeCell ref="A30:A36"/>
    <mergeCell ref="A37:A45"/>
    <mergeCell ref="A46:A53"/>
    <mergeCell ref="N28:N29"/>
    <mergeCell ref="O28:O29"/>
    <mergeCell ref="N30:N36"/>
    <mergeCell ref="N37:N45"/>
    <mergeCell ref="N46:N53"/>
    <mergeCell ref="N1:N2"/>
    <mergeCell ref="O1:O2"/>
    <mergeCell ref="N3:N9"/>
    <mergeCell ref="N10:N18"/>
    <mergeCell ref="N19:N26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2E6A-E20C-476A-8618-419F1495D8AD}">
  <dimension ref="A1:AG296"/>
  <sheetViews>
    <sheetView topLeftCell="A269" workbookViewId="0">
      <selection activeCell="J169" sqref="J169"/>
    </sheetView>
  </sheetViews>
  <sheetFormatPr defaultRowHeight="16.5" x14ac:dyDescent="0.25"/>
  <cols>
    <col min="6" max="9" width="9.125" bestFit="1" customWidth="1"/>
    <col min="10" max="10" width="12.25" bestFit="1" customWidth="1"/>
    <col min="11" max="11" width="11.75" bestFit="1" customWidth="1"/>
    <col min="12" max="12" width="13.375" bestFit="1" customWidth="1"/>
    <col min="13" max="13" width="12.25" bestFit="1" customWidth="1"/>
    <col min="14" max="21" width="9.125" bestFit="1" customWidth="1"/>
    <col min="22" max="25" width="9.125" customWidth="1"/>
    <col min="26" max="29" width="9.125" bestFit="1" customWidth="1"/>
  </cols>
  <sheetData>
    <row r="1" spans="1:33" x14ac:dyDescent="0.25">
      <c r="A1" s="8" t="s">
        <v>61</v>
      </c>
      <c r="B1" s="8" t="s">
        <v>138</v>
      </c>
      <c r="C1" s="8" t="s">
        <v>122</v>
      </c>
      <c r="D1" s="8" t="s">
        <v>123</v>
      </c>
      <c r="E1" s="8" t="s">
        <v>139</v>
      </c>
      <c r="F1" s="8" t="s">
        <v>140</v>
      </c>
      <c r="G1" s="8" t="s">
        <v>141</v>
      </c>
      <c r="H1" s="8" t="s">
        <v>142</v>
      </c>
      <c r="I1" s="8" t="s">
        <v>143</v>
      </c>
      <c r="J1" s="8" t="s">
        <v>144</v>
      </c>
      <c r="K1" s="8" t="s">
        <v>145</v>
      </c>
      <c r="L1" s="8" t="s">
        <v>146</v>
      </c>
      <c r="M1" s="8" t="s">
        <v>197</v>
      </c>
      <c r="N1" s="8" t="s">
        <v>147</v>
      </c>
      <c r="O1" s="8" t="s">
        <v>148</v>
      </c>
      <c r="P1" s="8" t="s">
        <v>149</v>
      </c>
      <c r="Q1" s="8" t="s">
        <v>150</v>
      </c>
      <c r="R1" s="8" t="s">
        <v>151</v>
      </c>
      <c r="S1" s="8" t="s">
        <v>152</v>
      </c>
      <c r="T1" s="8" t="s">
        <v>153</v>
      </c>
      <c r="U1" s="8" t="s">
        <v>154</v>
      </c>
      <c r="V1" s="8" t="s">
        <v>559</v>
      </c>
      <c r="W1" s="8" t="s">
        <v>560</v>
      </c>
      <c r="X1" s="8" t="s">
        <v>561</v>
      </c>
      <c r="Y1" s="8" t="s">
        <v>562</v>
      </c>
      <c r="Z1" s="8" t="s">
        <v>155</v>
      </c>
      <c r="AA1" s="8" t="s">
        <v>156</v>
      </c>
      <c r="AB1" s="8" t="s">
        <v>157</v>
      </c>
      <c r="AC1" s="8" t="s">
        <v>158</v>
      </c>
      <c r="AD1" s="8" t="s">
        <v>159</v>
      </c>
      <c r="AE1" s="8" t="s">
        <v>160</v>
      </c>
      <c r="AF1" s="8" t="s">
        <v>161</v>
      </c>
      <c r="AG1" s="8" t="s">
        <v>162</v>
      </c>
    </row>
    <row r="2" spans="1:33" x14ac:dyDescent="0.25">
      <c r="A2" s="8" t="s">
        <v>82</v>
      </c>
      <c r="B2" s="8" t="s">
        <v>163</v>
      </c>
      <c r="C2" s="8" t="s">
        <v>164</v>
      </c>
      <c r="D2" s="8" t="s">
        <v>88</v>
      </c>
      <c r="E2" s="8">
        <v>5</v>
      </c>
      <c r="F2" s="9">
        <v>4.3735999999999997</v>
      </c>
      <c r="G2" s="9">
        <v>2.6898</v>
      </c>
      <c r="H2" s="9">
        <v>6.0574000000000003</v>
      </c>
      <c r="I2" s="9">
        <v>1.2129000000000001</v>
      </c>
      <c r="J2" s="9">
        <v>32.666400000000003</v>
      </c>
      <c r="K2" s="9">
        <v>9.9311000000000007</v>
      </c>
      <c r="L2" s="9">
        <v>55.401600000000002</v>
      </c>
      <c r="M2" s="9">
        <v>16.377199999999998</v>
      </c>
      <c r="N2" s="9">
        <v>5.5621999999999998</v>
      </c>
      <c r="O2" s="9">
        <v>3.7372000000000001</v>
      </c>
      <c r="P2" s="9">
        <v>7.3872</v>
      </c>
      <c r="Q2" s="9">
        <v>1.3146</v>
      </c>
      <c r="R2" s="9">
        <v>16.914000000000001</v>
      </c>
      <c r="S2" s="9">
        <v>7.3754999999999997</v>
      </c>
      <c r="T2" s="9">
        <v>26.4526</v>
      </c>
      <c r="U2" s="9">
        <v>6.8711000000000002</v>
      </c>
      <c r="V2" s="9">
        <v>-8.0799999999999997E-2</v>
      </c>
      <c r="W2" s="9">
        <v>-0.53259999999999996</v>
      </c>
      <c r="X2" s="9">
        <v>0.371</v>
      </c>
      <c r="Y2" s="9">
        <v>0.32550000000000001</v>
      </c>
      <c r="Z2" s="9"/>
      <c r="AA2" s="9"/>
      <c r="AB2" s="9"/>
      <c r="AC2" s="9"/>
      <c r="AD2" s="8"/>
      <c r="AE2" s="8"/>
      <c r="AF2" s="8"/>
      <c r="AG2" s="8"/>
    </row>
    <row r="3" spans="1:33" x14ac:dyDescent="0.25">
      <c r="A3" s="8" t="s">
        <v>82</v>
      </c>
      <c r="B3" s="8" t="s">
        <v>163</v>
      </c>
      <c r="C3" s="8" t="s">
        <v>164</v>
      </c>
      <c r="D3" s="8" t="s">
        <v>130</v>
      </c>
      <c r="E3" s="8">
        <v>5</v>
      </c>
      <c r="F3" s="9">
        <v>8.9802999999999997</v>
      </c>
      <c r="G3" s="9">
        <v>4.9926000000000004</v>
      </c>
      <c r="H3" s="9">
        <v>12.968</v>
      </c>
      <c r="I3" s="9">
        <v>2.8725000000000001</v>
      </c>
      <c r="J3" s="9">
        <v>134.8775</v>
      </c>
      <c r="K3" s="9">
        <v>27.020199999999999</v>
      </c>
      <c r="L3" s="9">
        <v>242.73490000000001</v>
      </c>
      <c r="M3" s="9">
        <v>77.694599999999994</v>
      </c>
      <c r="N3" s="9">
        <v>11.2029</v>
      </c>
      <c r="O3" s="9">
        <v>6.9530000000000003</v>
      </c>
      <c r="P3" s="9">
        <v>15.4529</v>
      </c>
      <c r="Q3" s="9">
        <v>3.0613999999999999</v>
      </c>
      <c r="R3" s="9">
        <v>11.782999999999999</v>
      </c>
      <c r="S3" s="9">
        <v>6.6264000000000003</v>
      </c>
      <c r="T3" s="9">
        <v>16.939599999999999</v>
      </c>
      <c r="U3" s="9">
        <v>3.7145000000000001</v>
      </c>
      <c r="V3" s="9">
        <v>-0.62509999999999999</v>
      </c>
      <c r="W3" s="9">
        <v>-2.0287000000000002</v>
      </c>
      <c r="X3" s="9">
        <v>0.77859999999999996</v>
      </c>
      <c r="Y3" s="9">
        <v>1.0111000000000001</v>
      </c>
      <c r="Z3" s="9"/>
      <c r="AA3" s="9"/>
      <c r="AB3" s="9"/>
      <c r="AC3" s="9"/>
      <c r="AD3" s="8"/>
      <c r="AE3" s="8"/>
      <c r="AF3" s="8"/>
      <c r="AG3" s="8"/>
    </row>
    <row r="4" spans="1:33" x14ac:dyDescent="0.25">
      <c r="A4" s="8" t="s">
        <v>82</v>
      </c>
      <c r="B4" s="8" t="s">
        <v>163</v>
      </c>
      <c r="C4" s="8" t="s">
        <v>164</v>
      </c>
      <c r="D4" s="8" t="s">
        <v>127</v>
      </c>
      <c r="E4" s="8">
        <v>5</v>
      </c>
      <c r="F4" s="9">
        <v>16.3047</v>
      </c>
      <c r="G4" s="9">
        <v>10.8599</v>
      </c>
      <c r="H4" s="9">
        <v>21.749600000000001</v>
      </c>
      <c r="I4" s="9">
        <v>3.9222000000000001</v>
      </c>
      <c r="J4" s="9">
        <v>450.82190000000003</v>
      </c>
      <c r="K4" s="9">
        <v>172.87549999999999</v>
      </c>
      <c r="L4" s="9">
        <v>728.76829999999995</v>
      </c>
      <c r="M4" s="9">
        <v>200.2175</v>
      </c>
      <c r="N4" s="9">
        <v>20.697900000000001</v>
      </c>
      <c r="O4" s="9">
        <v>14.1252</v>
      </c>
      <c r="P4" s="9">
        <v>27.270700000000001</v>
      </c>
      <c r="Q4" s="9">
        <v>4.7347000000000001</v>
      </c>
      <c r="R4" s="9">
        <v>16.488900000000001</v>
      </c>
      <c r="S4" s="9">
        <v>10.9046</v>
      </c>
      <c r="T4" s="9">
        <v>22.0733</v>
      </c>
      <c r="U4" s="9">
        <v>4.0227000000000004</v>
      </c>
      <c r="V4" s="9">
        <v>-0.82069999999999999</v>
      </c>
      <c r="W4" s="9">
        <v>-1.9897</v>
      </c>
      <c r="X4" s="9">
        <v>0.3483</v>
      </c>
      <c r="Y4" s="9">
        <v>0.84209999999999996</v>
      </c>
      <c r="Z4" s="9"/>
      <c r="AA4" s="9"/>
      <c r="AB4" s="9"/>
      <c r="AC4" s="9"/>
      <c r="AD4" s="8"/>
      <c r="AE4" s="8"/>
      <c r="AF4" s="8"/>
      <c r="AG4" s="8"/>
    </row>
    <row r="5" spans="1:33" x14ac:dyDescent="0.25">
      <c r="A5" s="8" t="s">
        <v>82</v>
      </c>
      <c r="B5" s="8" t="s">
        <v>163</v>
      </c>
      <c r="C5" s="8" t="s">
        <v>164</v>
      </c>
      <c r="D5" s="8" t="s">
        <v>126</v>
      </c>
      <c r="E5" s="8">
        <v>5</v>
      </c>
      <c r="F5" s="9">
        <v>13.0891</v>
      </c>
      <c r="G5" s="9">
        <v>9.9757999999999996</v>
      </c>
      <c r="H5" s="9">
        <v>16.202400000000001</v>
      </c>
      <c r="I5" s="9">
        <v>2.2427000000000001</v>
      </c>
      <c r="J5" s="9">
        <v>281.99680000000001</v>
      </c>
      <c r="K5" s="9">
        <v>125.53579999999999</v>
      </c>
      <c r="L5" s="9">
        <v>438.45780000000002</v>
      </c>
      <c r="M5" s="9">
        <v>112.706</v>
      </c>
      <c r="N5" s="9">
        <v>16.4434</v>
      </c>
      <c r="O5" s="9">
        <v>11.7127</v>
      </c>
      <c r="P5" s="9">
        <v>21.173999999999999</v>
      </c>
      <c r="Q5" s="9">
        <v>3.4077000000000002</v>
      </c>
      <c r="R5" s="9">
        <v>24.2681</v>
      </c>
      <c r="S5" s="9">
        <v>21.214300000000001</v>
      </c>
      <c r="T5" s="9">
        <v>27.321899999999999</v>
      </c>
      <c r="U5" s="9">
        <v>2.1998000000000002</v>
      </c>
      <c r="V5" s="9">
        <v>-0.36720000000000003</v>
      </c>
      <c r="W5" s="9">
        <v>-0.97740000000000005</v>
      </c>
      <c r="X5" s="9">
        <v>0.24299999999999999</v>
      </c>
      <c r="Y5" s="9">
        <v>0.4395</v>
      </c>
      <c r="Z5" s="9"/>
      <c r="AA5" s="9"/>
      <c r="AB5" s="9"/>
      <c r="AC5" s="9"/>
      <c r="AD5" s="8"/>
      <c r="AE5" s="8"/>
      <c r="AF5" s="8"/>
      <c r="AG5" s="8"/>
    </row>
    <row r="6" spans="1:33" x14ac:dyDescent="0.25">
      <c r="A6" s="8" t="s">
        <v>82</v>
      </c>
      <c r="B6" s="8" t="s">
        <v>163</v>
      </c>
      <c r="C6" s="8" t="s">
        <v>164</v>
      </c>
      <c r="D6" s="8" t="s">
        <v>128</v>
      </c>
      <c r="E6" s="8">
        <v>5</v>
      </c>
      <c r="F6" s="9">
        <v>0.48299999999999998</v>
      </c>
      <c r="G6" s="9">
        <v>0.3896</v>
      </c>
      <c r="H6" s="9">
        <v>0.57640000000000002</v>
      </c>
      <c r="I6" s="9">
        <v>6.7299999999999999E-2</v>
      </c>
      <c r="J6" s="9">
        <v>0.37809999999999999</v>
      </c>
      <c r="K6" s="9">
        <v>0.24859999999999999</v>
      </c>
      <c r="L6" s="9">
        <v>0.50760000000000005</v>
      </c>
      <c r="M6" s="9">
        <v>9.3299999999999994E-2</v>
      </c>
      <c r="N6" s="9">
        <v>0.60919999999999996</v>
      </c>
      <c r="O6" s="9">
        <v>0.49390000000000001</v>
      </c>
      <c r="P6" s="9">
        <v>0.72450000000000003</v>
      </c>
      <c r="Q6" s="9">
        <v>8.3099999999999993E-2</v>
      </c>
      <c r="R6" s="9">
        <v>8.1156000000000006</v>
      </c>
      <c r="S6" s="9">
        <v>6.6984000000000004</v>
      </c>
      <c r="T6" s="9">
        <v>9.5328999999999997</v>
      </c>
      <c r="U6" s="9">
        <v>1.0208999999999999</v>
      </c>
      <c r="V6" s="9">
        <v>-0.34470000000000001</v>
      </c>
      <c r="W6" s="9">
        <v>-0.77329999999999999</v>
      </c>
      <c r="X6" s="9">
        <v>8.4000000000000005E-2</v>
      </c>
      <c r="Y6" s="9">
        <v>0.30880000000000002</v>
      </c>
      <c r="Z6" s="9"/>
      <c r="AA6" s="9"/>
      <c r="AB6" s="9"/>
      <c r="AC6" s="9"/>
      <c r="AD6" s="8"/>
      <c r="AE6" s="8"/>
      <c r="AF6" s="8"/>
      <c r="AG6" s="8"/>
    </row>
    <row r="7" spans="1:33" x14ac:dyDescent="0.25">
      <c r="A7" s="8" t="s">
        <v>82</v>
      </c>
      <c r="B7" s="8" t="s">
        <v>163</v>
      </c>
      <c r="C7" s="8" t="s">
        <v>164</v>
      </c>
      <c r="D7" s="8" t="s">
        <v>129</v>
      </c>
      <c r="E7" s="8">
        <v>5</v>
      </c>
      <c r="F7" s="9">
        <v>18.597300000000001</v>
      </c>
      <c r="G7" s="9">
        <v>9.2103999999999999</v>
      </c>
      <c r="H7" s="9">
        <v>27.984200000000001</v>
      </c>
      <c r="I7" s="9">
        <v>6.7618</v>
      </c>
      <c r="J7" s="9">
        <v>596.55840000000001</v>
      </c>
      <c r="K7" s="9">
        <v>44.659599999999998</v>
      </c>
      <c r="L7" s="9">
        <v>1148.4572000000001</v>
      </c>
      <c r="M7" s="9">
        <v>397.55790000000002</v>
      </c>
      <c r="N7" s="9">
        <v>23.329499999999999</v>
      </c>
      <c r="O7" s="9">
        <v>13.2906</v>
      </c>
      <c r="P7" s="9">
        <v>33.368299999999998</v>
      </c>
      <c r="Q7" s="9">
        <v>7.2313999999999998</v>
      </c>
      <c r="R7" s="9">
        <v>13.2948</v>
      </c>
      <c r="S7" s="9">
        <v>6.7591999999999999</v>
      </c>
      <c r="T7" s="9">
        <v>19.830400000000001</v>
      </c>
      <c r="U7" s="9">
        <v>4.7079000000000004</v>
      </c>
      <c r="V7" s="9">
        <v>-0.86329999999999996</v>
      </c>
      <c r="W7" s="9">
        <v>-2.8266</v>
      </c>
      <c r="X7" s="9">
        <v>1.0999000000000001</v>
      </c>
      <c r="Y7" s="9">
        <v>1.4141999999999999</v>
      </c>
      <c r="Z7" s="9"/>
      <c r="AA7" s="9"/>
      <c r="AB7" s="9"/>
      <c r="AC7" s="9"/>
      <c r="AD7" s="8"/>
      <c r="AE7" s="8"/>
      <c r="AF7" s="8"/>
      <c r="AG7" s="8"/>
    </row>
    <row r="8" spans="1:33" x14ac:dyDescent="0.25">
      <c r="A8" s="8" t="s">
        <v>82</v>
      </c>
      <c r="B8" s="8" t="s">
        <v>163</v>
      </c>
      <c r="C8" s="8" t="s">
        <v>164</v>
      </c>
      <c r="D8" s="8" t="s">
        <v>125</v>
      </c>
      <c r="E8" s="8">
        <v>5</v>
      </c>
      <c r="F8" s="9">
        <v>36.2547</v>
      </c>
      <c r="G8" s="9">
        <v>33.463799999999999</v>
      </c>
      <c r="H8" s="9">
        <v>39.045499999999997</v>
      </c>
      <c r="I8" s="9">
        <v>2.0104000000000002</v>
      </c>
      <c r="J8" s="9">
        <v>2121.7728000000002</v>
      </c>
      <c r="K8" s="9">
        <v>1634.3081999999999</v>
      </c>
      <c r="L8" s="9">
        <v>2609.2372999999998</v>
      </c>
      <c r="M8" s="9">
        <v>351.1429</v>
      </c>
      <c r="N8" s="9">
        <v>45.902200000000001</v>
      </c>
      <c r="O8" s="9">
        <v>40.569200000000002</v>
      </c>
      <c r="P8" s="9">
        <v>51.235199999999999</v>
      </c>
      <c r="Q8" s="9">
        <v>3.8416000000000001</v>
      </c>
      <c r="R8" s="9">
        <v>19.235099999999999</v>
      </c>
      <c r="S8" s="9">
        <v>17.279399999999999</v>
      </c>
      <c r="T8" s="9">
        <v>21.190799999999999</v>
      </c>
      <c r="U8" s="9">
        <v>1.4088000000000001</v>
      </c>
      <c r="V8" s="9">
        <v>-0.2858</v>
      </c>
      <c r="W8" s="9">
        <v>-0.67600000000000005</v>
      </c>
      <c r="X8" s="9">
        <v>0.10440000000000001</v>
      </c>
      <c r="Y8" s="9">
        <v>0.28110000000000002</v>
      </c>
      <c r="Z8" s="9"/>
      <c r="AA8" s="9"/>
      <c r="AB8" s="9"/>
      <c r="AC8" s="9"/>
      <c r="AD8" s="8"/>
      <c r="AE8" s="8"/>
      <c r="AF8" s="8"/>
      <c r="AG8" s="8"/>
    </row>
    <row r="9" spans="1:33" x14ac:dyDescent="0.25">
      <c r="A9" s="8" t="s">
        <v>82</v>
      </c>
      <c r="B9" s="8" t="s">
        <v>163</v>
      </c>
      <c r="C9" s="8" t="s">
        <v>165</v>
      </c>
      <c r="D9" s="8" t="s">
        <v>88</v>
      </c>
      <c r="E9" s="8">
        <v>5</v>
      </c>
      <c r="F9" s="9">
        <v>4.7301000000000002</v>
      </c>
      <c r="G9" s="9">
        <v>3.4009</v>
      </c>
      <c r="H9" s="9">
        <v>6.0594000000000001</v>
      </c>
      <c r="I9" s="9">
        <v>0.95750000000000002</v>
      </c>
      <c r="J9" s="9">
        <v>35.879399999999997</v>
      </c>
      <c r="K9" s="9">
        <v>17.930900000000001</v>
      </c>
      <c r="L9" s="9">
        <v>53.828000000000003</v>
      </c>
      <c r="M9" s="9">
        <v>12.9292</v>
      </c>
      <c r="N9" s="9">
        <v>5.8905000000000003</v>
      </c>
      <c r="O9" s="9">
        <v>4.3815999999999997</v>
      </c>
      <c r="P9" s="9">
        <v>7.3993000000000002</v>
      </c>
      <c r="Q9" s="9">
        <v>1.0869</v>
      </c>
      <c r="R9" s="9">
        <v>18.708400000000001</v>
      </c>
      <c r="S9" s="9">
        <v>11.863200000000001</v>
      </c>
      <c r="T9" s="9">
        <v>25.553599999999999</v>
      </c>
      <c r="U9" s="9">
        <v>4.9309000000000003</v>
      </c>
      <c r="V9" s="9">
        <v>-0.22389999999999999</v>
      </c>
      <c r="W9" s="9">
        <v>-0.65259999999999996</v>
      </c>
      <c r="X9" s="9">
        <v>0.20480000000000001</v>
      </c>
      <c r="Y9" s="9">
        <v>0.30880000000000002</v>
      </c>
      <c r="Z9" s="9"/>
      <c r="AA9" s="9"/>
      <c r="AB9" s="9"/>
      <c r="AC9" s="9"/>
      <c r="AD9" s="8"/>
      <c r="AE9" s="8"/>
      <c r="AF9" s="8"/>
      <c r="AG9" s="8"/>
    </row>
    <row r="10" spans="1:33" x14ac:dyDescent="0.25">
      <c r="A10" s="8" t="s">
        <v>82</v>
      </c>
      <c r="B10" s="8" t="s">
        <v>163</v>
      </c>
      <c r="C10" s="8" t="s">
        <v>165</v>
      </c>
      <c r="D10" s="8" t="s">
        <v>130</v>
      </c>
      <c r="E10" s="8">
        <v>5</v>
      </c>
      <c r="F10" s="9">
        <v>6.7408000000000001</v>
      </c>
      <c r="G10" s="9">
        <v>5.0811999999999999</v>
      </c>
      <c r="H10" s="9">
        <v>8.4003999999999994</v>
      </c>
      <c r="I10" s="9">
        <v>1.1955</v>
      </c>
      <c r="J10" s="9">
        <v>73.129199999999997</v>
      </c>
      <c r="K10" s="9">
        <v>40.994799999999998</v>
      </c>
      <c r="L10" s="9">
        <v>105.2636</v>
      </c>
      <c r="M10" s="9">
        <v>23.1479</v>
      </c>
      <c r="N10" s="9">
        <v>8.4236000000000004</v>
      </c>
      <c r="O10" s="9">
        <v>6.3776000000000002</v>
      </c>
      <c r="P10" s="9">
        <v>10.4696</v>
      </c>
      <c r="Q10" s="9">
        <v>1.4738</v>
      </c>
      <c r="R10" s="9">
        <v>9.2166999999999994</v>
      </c>
      <c r="S10" s="9">
        <v>6.8888999999999996</v>
      </c>
      <c r="T10" s="9">
        <v>11.544499999999999</v>
      </c>
      <c r="U10" s="9">
        <v>1.6768000000000001</v>
      </c>
      <c r="V10" s="9">
        <v>0.15620000000000001</v>
      </c>
      <c r="W10" s="9">
        <v>-0.14649999999999999</v>
      </c>
      <c r="X10" s="9">
        <v>0.45879999999999999</v>
      </c>
      <c r="Y10" s="9">
        <v>0.218</v>
      </c>
      <c r="Z10" s="9"/>
      <c r="AA10" s="9"/>
      <c r="AB10" s="9"/>
      <c r="AC10" s="9"/>
      <c r="AD10" s="8"/>
      <c r="AE10" s="8"/>
      <c r="AF10" s="8"/>
      <c r="AG10" s="8"/>
    </row>
    <row r="11" spans="1:33" x14ac:dyDescent="0.25">
      <c r="A11" s="8" t="s">
        <v>82</v>
      </c>
      <c r="B11" s="8" t="s">
        <v>163</v>
      </c>
      <c r="C11" s="8" t="s">
        <v>165</v>
      </c>
      <c r="D11" s="8" t="s">
        <v>127</v>
      </c>
      <c r="E11" s="8">
        <v>5</v>
      </c>
      <c r="F11" s="9">
        <v>12.4628</v>
      </c>
      <c r="G11" s="9">
        <v>10.6228</v>
      </c>
      <c r="H11" s="9">
        <v>14.3028</v>
      </c>
      <c r="I11" s="9">
        <v>1.3253999999999999</v>
      </c>
      <c r="J11" s="9">
        <v>268.9316</v>
      </c>
      <c r="K11" s="9">
        <v>182.483</v>
      </c>
      <c r="L11" s="9">
        <v>355.38029999999998</v>
      </c>
      <c r="M11" s="9">
        <v>62.2729</v>
      </c>
      <c r="N11" s="9">
        <v>16.2898</v>
      </c>
      <c r="O11" s="9">
        <v>13.665800000000001</v>
      </c>
      <c r="P11" s="9">
        <v>18.913799999999998</v>
      </c>
      <c r="Q11" s="9">
        <v>1.8902000000000001</v>
      </c>
      <c r="R11" s="9">
        <v>12.7807</v>
      </c>
      <c r="S11" s="9">
        <v>11.2117</v>
      </c>
      <c r="T11" s="9">
        <v>14.3497</v>
      </c>
      <c r="U11" s="9">
        <v>1.1302000000000001</v>
      </c>
      <c r="V11" s="9">
        <v>-6.2100000000000002E-2</v>
      </c>
      <c r="W11" s="9">
        <v>-0.21560000000000001</v>
      </c>
      <c r="X11" s="9">
        <v>9.1499999999999998E-2</v>
      </c>
      <c r="Y11" s="9">
        <v>0.1106</v>
      </c>
      <c r="Z11" s="9"/>
      <c r="AA11" s="9"/>
      <c r="AB11" s="9"/>
      <c r="AC11" s="9"/>
      <c r="AD11" s="8"/>
      <c r="AE11" s="8"/>
      <c r="AF11" s="8"/>
      <c r="AG11" s="8"/>
    </row>
    <row r="12" spans="1:33" x14ac:dyDescent="0.25">
      <c r="A12" s="8" t="s">
        <v>82</v>
      </c>
      <c r="B12" s="8" t="s">
        <v>163</v>
      </c>
      <c r="C12" s="8" t="s">
        <v>165</v>
      </c>
      <c r="D12" s="8" t="s">
        <v>126</v>
      </c>
      <c r="E12" s="8">
        <v>5</v>
      </c>
      <c r="F12" s="9">
        <v>11.081</v>
      </c>
      <c r="G12" s="9">
        <v>9.2317999999999998</v>
      </c>
      <c r="H12" s="9">
        <v>12.930099999999999</v>
      </c>
      <c r="I12" s="9">
        <v>1.3320000000000001</v>
      </c>
      <c r="J12" s="9">
        <v>189.39850000000001</v>
      </c>
      <c r="K12" s="9">
        <v>137.96440000000001</v>
      </c>
      <c r="L12" s="9">
        <v>240.83260000000001</v>
      </c>
      <c r="M12" s="9">
        <v>37.0503</v>
      </c>
      <c r="N12" s="9">
        <v>13.687799999999999</v>
      </c>
      <c r="O12" s="9">
        <v>11.7044</v>
      </c>
      <c r="P12" s="9">
        <v>15.671200000000001</v>
      </c>
      <c r="Q12" s="9">
        <v>1.4287000000000001</v>
      </c>
      <c r="R12" s="9">
        <v>21.708500000000001</v>
      </c>
      <c r="S12" s="9">
        <v>18.345199999999998</v>
      </c>
      <c r="T12" s="9">
        <v>25.0718</v>
      </c>
      <c r="U12" s="9">
        <v>2.4226999999999999</v>
      </c>
      <c r="V12" s="9">
        <v>6.2600000000000003E-2</v>
      </c>
      <c r="W12" s="9">
        <v>-9.4799999999999995E-2</v>
      </c>
      <c r="X12" s="9">
        <v>0.21990000000000001</v>
      </c>
      <c r="Y12" s="9">
        <v>0.1134</v>
      </c>
      <c r="Z12" s="9"/>
      <c r="AA12" s="9"/>
      <c r="AB12" s="9"/>
      <c r="AC12" s="9"/>
      <c r="AD12" s="8"/>
      <c r="AE12" s="8"/>
      <c r="AF12" s="8"/>
      <c r="AG12" s="8"/>
    </row>
    <row r="13" spans="1:33" x14ac:dyDescent="0.25">
      <c r="A13" s="8" t="s">
        <v>82</v>
      </c>
      <c r="B13" s="8" t="s">
        <v>163</v>
      </c>
      <c r="C13" s="8" t="s">
        <v>165</v>
      </c>
      <c r="D13" s="8" t="s">
        <v>128</v>
      </c>
      <c r="E13" s="8">
        <v>5</v>
      </c>
      <c r="F13" s="9">
        <v>0.43819999999999998</v>
      </c>
      <c r="G13" s="9">
        <v>0.35720000000000002</v>
      </c>
      <c r="H13" s="9">
        <v>0.51929999999999998</v>
      </c>
      <c r="I13" s="9">
        <v>5.8400000000000001E-2</v>
      </c>
      <c r="J13" s="9">
        <v>0.30980000000000002</v>
      </c>
      <c r="K13" s="9">
        <v>0.18609999999999999</v>
      </c>
      <c r="L13" s="9">
        <v>0.4335</v>
      </c>
      <c r="M13" s="9">
        <v>8.9099999999999999E-2</v>
      </c>
      <c r="N13" s="9">
        <v>0.54959999999999998</v>
      </c>
      <c r="O13" s="9">
        <v>0.42749999999999999</v>
      </c>
      <c r="P13" s="9">
        <v>0.67169999999999996</v>
      </c>
      <c r="Q13" s="9">
        <v>8.7999999999999995E-2</v>
      </c>
      <c r="R13" s="9">
        <v>7.431</v>
      </c>
      <c r="S13" s="9">
        <v>6.1928999999999998</v>
      </c>
      <c r="T13" s="9">
        <v>8.6692</v>
      </c>
      <c r="U13" s="9">
        <v>0.89190000000000003</v>
      </c>
      <c r="V13" s="9">
        <v>-8.9700000000000002E-2</v>
      </c>
      <c r="W13" s="9">
        <v>-0.44700000000000001</v>
      </c>
      <c r="X13" s="9">
        <v>0.2676</v>
      </c>
      <c r="Y13" s="9">
        <v>0.25740000000000002</v>
      </c>
      <c r="Z13" s="9"/>
      <c r="AA13" s="9"/>
      <c r="AB13" s="9"/>
      <c r="AC13" s="9"/>
      <c r="AD13" s="8"/>
      <c r="AE13" s="8"/>
      <c r="AF13" s="8"/>
      <c r="AG13" s="8"/>
    </row>
    <row r="14" spans="1:33" x14ac:dyDescent="0.25">
      <c r="A14" s="8" t="s">
        <v>82</v>
      </c>
      <c r="B14" s="8" t="s">
        <v>163</v>
      </c>
      <c r="C14" s="8" t="s">
        <v>165</v>
      </c>
      <c r="D14" s="8" t="s">
        <v>129</v>
      </c>
      <c r="E14" s="8">
        <v>5</v>
      </c>
      <c r="F14" s="9">
        <v>14.21</v>
      </c>
      <c r="G14" s="9">
        <v>10.608000000000001</v>
      </c>
      <c r="H14" s="9">
        <v>17.811900000000001</v>
      </c>
      <c r="I14" s="9">
        <v>2.5945999999999998</v>
      </c>
      <c r="J14" s="9">
        <v>344.31380000000001</v>
      </c>
      <c r="K14" s="9">
        <v>171.51240000000001</v>
      </c>
      <c r="L14" s="9">
        <v>517.11530000000005</v>
      </c>
      <c r="M14" s="9">
        <v>124.4768</v>
      </c>
      <c r="N14" s="9">
        <v>18.256599999999999</v>
      </c>
      <c r="O14" s="9">
        <v>13.649800000000001</v>
      </c>
      <c r="P14" s="9">
        <v>22.863299999999999</v>
      </c>
      <c r="Q14" s="9">
        <v>3.3184</v>
      </c>
      <c r="R14" s="9">
        <v>10.598599999999999</v>
      </c>
      <c r="S14" s="9">
        <v>7.4486999999999997</v>
      </c>
      <c r="T14" s="9">
        <v>13.7484</v>
      </c>
      <c r="U14" s="9">
        <v>2.2690000000000001</v>
      </c>
      <c r="V14" s="9">
        <v>-6.7000000000000002E-3</v>
      </c>
      <c r="W14" s="9">
        <v>-0.31690000000000002</v>
      </c>
      <c r="X14" s="9">
        <v>0.30349999999999999</v>
      </c>
      <c r="Y14" s="9">
        <v>0.2235</v>
      </c>
      <c r="Z14" s="9"/>
      <c r="AA14" s="9"/>
      <c r="AB14" s="9"/>
      <c r="AC14" s="9"/>
      <c r="AD14" s="8"/>
      <c r="AE14" s="8"/>
      <c r="AF14" s="8"/>
      <c r="AG14" s="8"/>
    </row>
    <row r="15" spans="1:33" x14ac:dyDescent="0.25">
      <c r="A15" s="8" t="s">
        <v>82</v>
      </c>
      <c r="B15" s="8" t="s">
        <v>163</v>
      </c>
      <c r="C15" s="8" t="s">
        <v>165</v>
      </c>
      <c r="D15" s="8" t="s">
        <v>125</v>
      </c>
      <c r="E15" s="8">
        <v>5</v>
      </c>
      <c r="F15" s="9">
        <v>34.568199999999997</v>
      </c>
      <c r="G15" s="9">
        <v>29.741299999999999</v>
      </c>
      <c r="H15" s="9">
        <v>39.395000000000003</v>
      </c>
      <c r="I15" s="9">
        <v>3.4769999999999999</v>
      </c>
      <c r="J15" s="9">
        <v>1811.6565000000001</v>
      </c>
      <c r="K15" s="9">
        <v>1236.6567</v>
      </c>
      <c r="L15" s="9">
        <v>2386.6563000000001</v>
      </c>
      <c r="M15" s="9">
        <v>414.1986</v>
      </c>
      <c r="N15" s="9">
        <v>42.275300000000001</v>
      </c>
      <c r="O15" s="9">
        <v>35.410600000000002</v>
      </c>
      <c r="P15" s="9">
        <v>49.140099999999997</v>
      </c>
      <c r="Q15" s="9">
        <v>4.9450000000000003</v>
      </c>
      <c r="R15" s="9">
        <v>18.945</v>
      </c>
      <c r="S15" s="9">
        <v>16.308299999999999</v>
      </c>
      <c r="T15" s="9">
        <v>21.581600000000002</v>
      </c>
      <c r="U15" s="9">
        <v>1.8993</v>
      </c>
      <c r="V15" s="9">
        <v>-9.2399999999999996E-2</v>
      </c>
      <c r="W15" s="9">
        <v>-0.4501</v>
      </c>
      <c r="X15" s="9">
        <v>0.26540000000000002</v>
      </c>
      <c r="Y15" s="9">
        <v>0.25769999999999998</v>
      </c>
      <c r="Z15" s="9"/>
      <c r="AA15" s="9"/>
      <c r="AB15" s="9"/>
      <c r="AC15" s="9"/>
      <c r="AD15" s="8"/>
      <c r="AE15" s="8"/>
      <c r="AF15" s="8"/>
      <c r="AG15" s="8"/>
    </row>
    <row r="16" spans="1:33" x14ac:dyDescent="0.25">
      <c r="A16" s="8" t="s">
        <v>82</v>
      </c>
      <c r="B16" s="8" t="s">
        <v>163</v>
      </c>
      <c r="C16" s="8" t="s">
        <v>131</v>
      </c>
      <c r="D16" s="8" t="s">
        <v>88</v>
      </c>
      <c r="E16" s="8">
        <v>5</v>
      </c>
      <c r="F16" s="9">
        <v>4.8240999999999996</v>
      </c>
      <c r="G16" s="9">
        <v>3.8420999999999998</v>
      </c>
      <c r="H16" s="9">
        <v>5.8060999999999998</v>
      </c>
      <c r="I16" s="9">
        <v>0.70740000000000003</v>
      </c>
      <c r="J16" s="9">
        <v>36.319499999999998</v>
      </c>
      <c r="K16" s="9">
        <v>24.827999999999999</v>
      </c>
      <c r="L16" s="9">
        <v>47.811</v>
      </c>
      <c r="M16" s="9">
        <v>8.2779000000000007</v>
      </c>
      <c r="N16" s="9">
        <v>5.9848999999999997</v>
      </c>
      <c r="O16" s="9">
        <v>5.0023999999999997</v>
      </c>
      <c r="P16" s="9">
        <v>6.9672999999999998</v>
      </c>
      <c r="Q16" s="9">
        <v>0.7077</v>
      </c>
      <c r="R16" s="9">
        <v>18.237400000000001</v>
      </c>
      <c r="S16" s="9">
        <v>12.1495</v>
      </c>
      <c r="T16" s="9">
        <v>24.325299999999999</v>
      </c>
      <c r="U16" s="9">
        <v>4.3853999999999997</v>
      </c>
      <c r="V16" s="9">
        <v>-0.25540000000000002</v>
      </c>
      <c r="W16" s="9">
        <v>-0.4698</v>
      </c>
      <c r="X16" s="9">
        <v>-4.0899999999999999E-2</v>
      </c>
      <c r="Y16" s="9">
        <v>0.1545</v>
      </c>
      <c r="Z16" s="9"/>
      <c r="AA16" s="9"/>
      <c r="AB16" s="9"/>
      <c r="AC16" s="9"/>
      <c r="AD16" s="8"/>
      <c r="AE16" s="8"/>
      <c r="AF16" s="8"/>
      <c r="AG16" s="8"/>
    </row>
    <row r="17" spans="1:33" x14ac:dyDescent="0.25">
      <c r="A17" s="8" t="s">
        <v>82</v>
      </c>
      <c r="B17" s="8" t="s">
        <v>163</v>
      </c>
      <c r="C17" s="8" t="s">
        <v>131</v>
      </c>
      <c r="D17" s="8" t="s">
        <v>130</v>
      </c>
      <c r="E17" s="8">
        <v>5</v>
      </c>
      <c r="F17" s="9">
        <v>7.2946999999999997</v>
      </c>
      <c r="G17" s="9">
        <v>5.9189999999999996</v>
      </c>
      <c r="H17" s="9">
        <v>8.6705000000000005</v>
      </c>
      <c r="I17" s="9">
        <v>0.99099999999999999</v>
      </c>
      <c r="J17" s="9">
        <v>86.983199999999997</v>
      </c>
      <c r="K17" s="9">
        <v>57.023800000000001</v>
      </c>
      <c r="L17" s="9">
        <v>116.9427</v>
      </c>
      <c r="M17" s="9">
        <v>21.581099999999999</v>
      </c>
      <c r="N17" s="9">
        <v>9.2559000000000005</v>
      </c>
      <c r="O17" s="9">
        <v>7.6662999999999997</v>
      </c>
      <c r="P17" s="9">
        <v>10.845499999999999</v>
      </c>
      <c r="Q17" s="9">
        <v>1.1451</v>
      </c>
      <c r="R17" s="9">
        <v>10.0228</v>
      </c>
      <c r="S17" s="9">
        <v>8.0164000000000009</v>
      </c>
      <c r="T17" s="9">
        <v>12.029199999999999</v>
      </c>
      <c r="U17" s="9">
        <v>1.4453</v>
      </c>
      <c r="V17" s="9">
        <v>-6.0000000000000001E-3</v>
      </c>
      <c r="W17" s="9">
        <v>-0.12189999999999999</v>
      </c>
      <c r="X17" s="9">
        <v>0.1099</v>
      </c>
      <c r="Y17" s="9">
        <v>8.3500000000000005E-2</v>
      </c>
      <c r="Z17" s="9"/>
      <c r="AA17" s="9"/>
      <c r="AB17" s="9"/>
      <c r="AC17" s="9"/>
      <c r="AD17" s="8"/>
      <c r="AE17" s="8"/>
      <c r="AF17" s="8"/>
      <c r="AG17" s="8"/>
    </row>
    <row r="18" spans="1:33" x14ac:dyDescent="0.25">
      <c r="A18" s="8" t="s">
        <v>82</v>
      </c>
      <c r="B18" s="8" t="s">
        <v>163</v>
      </c>
      <c r="C18" s="8" t="s">
        <v>131</v>
      </c>
      <c r="D18" s="8" t="s">
        <v>127</v>
      </c>
      <c r="E18" s="8">
        <v>5</v>
      </c>
      <c r="F18" s="9">
        <v>13.0822</v>
      </c>
      <c r="G18" s="9">
        <v>11.5686</v>
      </c>
      <c r="H18" s="9">
        <v>14.5959</v>
      </c>
      <c r="I18" s="9">
        <v>1.0904</v>
      </c>
      <c r="J18" s="9">
        <v>289.2321</v>
      </c>
      <c r="K18" s="9">
        <v>218.08879999999999</v>
      </c>
      <c r="L18" s="9">
        <v>360.37529999999998</v>
      </c>
      <c r="M18" s="9">
        <v>51.247700000000002</v>
      </c>
      <c r="N18" s="9">
        <v>16.9376</v>
      </c>
      <c r="O18" s="9">
        <v>14.8089</v>
      </c>
      <c r="P18" s="9">
        <v>19.066199999999998</v>
      </c>
      <c r="Q18" s="9">
        <v>1.5334000000000001</v>
      </c>
      <c r="R18" s="9">
        <v>13.2605</v>
      </c>
      <c r="S18" s="9">
        <v>11.7997</v>
      </c>
      <c r="T18" s="9">
        <v>14.7212</v>
      </c>
      <c r="U18" s="9">
        <v>1.0522</v>
      </c>
      <c r="V18" s="9">
        <v>-0.15090000000000001</v>
      </c>
      <c r="W18" s="9">
        <v>-0.26469999999999999</v>
      </c>
      <c r="X18" s="9">
        <v>-3.7100000000000001E-2</v>
      </c>
      <c r="Y18" s="9">
        <v>8.2000000000000003E-2</v>
      </c>
      <c r="Z18" s="9"/>
      <c r="AA18" s="9"/>
      <c r="AB18" s="9"/>
      <c r="AC18" s="9"/>
      <c r="AD18" s="8"/>
      <c r="AE18" s="8"/>
      <c r="AF18" s="8"/>
      <c r="AG18" s="8"/>
    </row>
    <row r="19" spans="1:33" x14ac:dyDescent="0.25">
      <c r="A19" s="8" t="s">
        <v>82</v>
      </c>
      <c r="B19" s="8" t="s">
        <v>163</v>
      </c>
      <c r="C19" s="8" t="s">
        <v>131</v>
      </c>
      <c r="D19" s="8" t="s">
        <v>126</v>
      </c>
      <c r="E19" s="8">
        <v>5</v>
      </c>
      <c r="F19" s="9">
        <v>12.648999999999999</v>
      </c>
      <c r="G19" s="9">
        <v>10.804</v>
      </c>
      <c r="H19" s="9">
        <v>14.4939</v>
      </c>
      <c r="I19" s="9">
        <v>1.329</v>
      </c>
      <c r="J19" s="9">
        <v>251.75139999999999</v>
      </c>
      <c r="K19" s="9">
        <v>185.78569999999999</v>
      </c>
      <c r="L19" s="9">
        <v>317.71710000000002</v>
      </c>
      <c r="M19" s="9">
        <v>47.518099999999997</v>
      </c>
      <c r="N19" s="9">
        <v>15.786</v>
      </c>
      <c r="O19" s="9">
        <v>13.568099999999999</v>
      </c>
      <c r="P19" s="9">
        <v>18.004000000000001</v>
      </c>
      <c r="Q19" s="9">
        <v>1.5976999999999999</v>
      </c>
      <c r="R19" s="9">
        <v>24.415099999999999</v>
      </c>
      <c r="S19" s="9">
        <v>21.029800000000002</v>
      </c>
      <c r="T19" s="9">
        <v>27.8004</v>
      </c>
      <c r="U19" s="9">
        <v>2.4386000000000001</v>
      </c>
      <c r="V19" s="9">
        <v>-0.24959999999999999</v>
      </c>
      <c r="W19" s="9">
        <v>-0.48480000000000001</v>
      </c>
      <c r="X19" s="9">
        <v>-1.44E-2</v>
      </c>
      <c r="Y19" s="9">
        <v>0.1694</v>
      </c>
      <c r="Z19" s="9"/>
      <c r="AA19" s="9"/>
      <c r="AB19" s="9"/>
      <c r="AC19" s="9"/>
      <c r="AD19" s="8"/>
      <c r="AE19" s="8"/>
      <c r="AF19" s="8"/>
      <c r="AG19" s="8"/>
    </row>
    <row r="20" spans="1:33" x14ac:dyDescent="0.25">
      <c r="A20" s="8" t="s">
        <v>82</v>
      </c>
      <c r="B20" s="8" t="s">
        <v>163</v>
      </c>
      <c r="C20" s="8" t="s">
        <v>131</v>
      </c>
      <c r="D20" s="8" t="s">
        <v>128</v>
      </c>
      <c r="E20" s="8">
        <v>5</v>
      </c>
      <c r="F20" s="9">
        <v>0.42149999999999999</v>
      </c>
      <c r="G20" s="9">
        <v>0.32450000000000001</v>
      </c>
      <c r="H20" s="9">
        <v>0.51839999999999997</v>
      </c>
      <c r="I20" s="9">
        <v>6.9800000000000001E-2</v>
      </c>
      <c r="J20" s="9">
        <v>0.28739999999999999</v>
      </c>
      <c r="K20" s="9">
        <v>0.18529999999999999</v>
      </c>
      <c r="L20" s="9">
        <v>0.38950000000000001</v>
      </c>
      <c r="M20" s="9">
        <v>7.3499999999999996E-2</v>
      </c>
      <c r="N20" s="9">
        <v>0.53110000000000002</v>
      </c>
      <c r="O20" s="9">
        <v>0.43020000000000003</v>
      </c>
      <c r="P20" s="9">
        <v>0.63200000000000001</v>
      </c>
      <c r="Q20" s="9">
        <v>7.2700000000000001E-2</v>
      </c>
      <c r="R20" s="9">
        <v>7.3014999999999999</v>
      </c>
      <c r="S20" s="9">
        <v>5.6679000000000004</v>
      </c>
      <c r="T20" s="9">
        <v>8.9350000000000005</v>
      </c>
      <c r="U20" s="9">
        <v>1.1767000000000001</v>
      </c>
      <c r="V20" s="9">
        <v>-0.01</v>
      </c>
      <c r="W20" s="9">
        <v>-0.2324</v>
      </c>
      <c r="X20" s="9">
        <v>0.21240000000000001</v>
      </c>
      <c r="Y20" s="9">
        <v>0.16020000000000001</v>
      </c>
      <c r="Z20" s="9"/>
      <c r="AA20" s="9"/>
      <c r="AB20" s="9"/>
      <c r="AC20" s="9"/>
      <c r="AD20" s="8"/>
      <c r="AE20" s="8"/>
      <c r="AF20" s="8"/>
      <c r="AG20" s="8"/>
    </row>
    <row r="21" spans="1:33" x14ac:dyDescent="0.25">
      <c r="A21" s="8" t="s">
        <v>82</v>
      </c>
      <c r="B21" s="8" t="s">
        <v>163</v>
      </c>
      <c r="C21" s="8" t="s">
        <v>131</v>
      </c>
      <c r="D21" s="8" t="s">
        <v>129</v>
      </c>
      <c r="E21" s="8">
        <v>5</v>
      </c>
      <c r="F21" s="9">
        <v>15.4192</v>
      </c>
      <c r="G21" s="9">
        <v>11.862399999999999</v>
      </c>
      <c r="H21" s="9">
        <v>18.975999999999999</v>
      </c>
      <c r="I21" s="9">
        <v>2.5621</v>
      </c>
      <c r="J21" s="9">
        <v>388.01749999999998</v>
      </c>
      <c r="K21" s="9">
        <v>214.96539999999999</v>
      </c>
      <c r="L21" s="9">
        <v>561.06960000000004</v>
      </c>
      <c r="M21" s="9">
        <v>124.65730000000001</v>
      </c>
      <c r="N21" s="9">
        <v>19.441400000000002</v>
      </c>
      <c r="O21" s="9">
        <v>15.0405</v>
      </c>
      <c r="P21" s="9">
        <v>23.842300000000002</v>
      </c>
      <c r="Q21" s="9">
        <v>3.1701000000000001</v>
      </c>
      <c r="R21" s="9">
        <v>11.614599999999999</v>
      </c>
      <c r="S21" s="9">
        <v>8.3585999999999991</v>
      </c>
      <c r="T21" s="9">
        <v>14.8706</v>
      </c>
      <c r="U21" s="9">
        <v>2.3454000000000002</v>
      </c>
      <c r="V21" s="9">
        <v>-0.13389999999999999</v>
      </c>
      <c r="W21" s="9">
        <v>-0.35199999999999998</v>
      </c>
      <c r="X21" s="9">
        <v>8.4199999999999997E-2</v>
      </c>
      <c r="Y21" s="9">
        <v>0.15709999999999999</v>
      </c>
      <c r="Z21" s="9"/>
      <c r="AA21" s="9"/>
      <c r="AB21" s="9"/>
      <c r="AC21" s="9"/>
      <c r="AD21" s="8"/>
      <c r="AE21" s="8"/>
      <c r="AF21" s="8"/>
      <c r="AG21" s="8"/>
    </row>
    <row r="22" spans="1:33" x14ac:dyDescent="0.25">
      <c r="A22" s="8" t="s">
        <v>82</v>
      </c>
      <c r="B22" s="8" t="s">
        <v>163</v>
      </c>
      <c r="C22" s="8" t="s">
        <v>131</v>
      </c>
      <c r="D22" s="8" t="s">
        <v>125</v>
      </c>
      <c r="E22" s="8">
        <v>5</v>
      </c>
      <c r="F22" s="9">
        <v>36.484900000000003</v>
      </c>
      <c r="G22" s="9">
        <v>32.035800000000002</v>
      </c>
      <c r="H22" s="9">
        <v>40.933999999999997</v>
      </c>
      <c r="I22" s="9">
        <v>3.2048999999999999</v>
      </c>
      <c r="J22" s="9">
        <v>2022.2931000000001</v>
      </c>
      <c r="K22" s="9">
        <v>1635.5512000000001</v>
      </c>
      <c r="L22" s="9">
        <v>2409.0349999999999</v>
      </c>
      <c r="M22" s="9">
        <v>278.58780000000002</v>
      </c>
      <c r="N22" s="9">
        <v>44.860700000000001</v>
      </c>
      <c r="O22" s="9">
        <v>40.512900000000002</v>
      </c>
      <c r="P22" s="9">
        <v>49.208500000000001</v>
      </c>
      <c r="Q22" s="9">
        <v>3.1318999999999999</v>
      </c>
      <c r="R22" s="9">
        <v>20.409800000000001</v>
      </c>
      <c r="S22" s="9">
        <v>17.8184</v>
      </c>
      <c r="T22" s="9">
        <v>23.001200000000001</v>
      </c>
      <c r="U22" s="9">
        <v>1.8667</v>
      </c>
      <c r="V22" s="9">
        <v>-0.21729999999999999</v>
      </c>
      <c r="W22" s="9">
        <v>-0.4551</v>
      </c>
      <c r="X22" s="9">
        <v>2.06E-2</v>
      </c>
      <c r="Y22" s="9">
        <v>0.1714</v>
      </c>
      <c r="Z22" s="9"/>
      <c r="AA22" s="9"/>
      <c r="AB22" s="9"/>
      <c r="AC22" s="9"/>
      <c r="AD22" s="8"/>
      <c r="AE22" s="8"/>
      <c r="AF22" s="8"/>
      <c r="AG22" s="8"/>
    </row>
    <row r="23" spans="1:33" x14ac:dyDescent="0.25">
      <c r="A23" s="8" t="s">
        <v>82</v>
      </c>
      <c r="B23" s="8" t="s">
        <v>163</v>
      </c>
      <c r="C23" s="8" t="s">
        <v>132</v>
      </c>
      <c r="D23" s="8" t="s">
        <v>88</v>
      </c>
      <c r="E23" s="8">
        <v>5</v>
      </c>
      <c r="F23" s="9">
        <v>4.4512</v>
      </c>
      <c r="G23" s="9">
        <v>3.6269999999999998</v>
      </c>
      <c r="H23" s="9">
        <v>5.2754000000000003</v>
      </c>
      <c r="I23" s="9">
        <v>0.59370000000000001</v>
      </c>
      <c r="J23" s="9">
        <v>29.817900000000002</v>
      </c>
      <c r="K23" s="9">
        <v>18.802800000000001</v>
      </c>
      <c r="L23" s="9">
        <v>40.832999999999998</v>
      </c>
      <c r="M23" s="9">
        <v>7.9347000000000003</v>
      </c>
      <c r="N23" s="9">
        <v>5.4100999999999999</v>
      </c>
      <c r="O23" s="9">
        <v>4.3818000000000001</v>
      </c>
      <c r="P23" s="9">
        <v>6.4383999999999997</v>
      </c>
      <c r="Q23" s="9">
        <v>0.74080000000000001</v>
      </c>
      <c r="R23" s="9">
        <v>17.486799999999999</v>
      </c>
      <c r="S23" s="9">
        <v>12.056699999999999</v>
      </c>
      <c r="T23" s="9">
        <v>22.916899999999998</v>
      </c>
      <c r="U23" s="9">
        <v>3.9116</v>
      </c>
      <c r="V23" s="9">
        <v>-1.9699999999999999E-2</v>
      </c>
      <c r="W23" s="9">
        <v>-0.1711</v>
      </c>
      <c r="X23" s="9">
        <v>0.13159999999999999</v>
      </c>
      <c r="Y23" s="9">
        <v>0.109</v>
      </c>
      <c r="Z23" s="9"/>
      <c r="AA23" s="9"/>
      <c r="AB23" s="9"/>
      <c r="AC23" s="9"/>
      <c r="AD23" s="8"/>
      <c r="AE23" s="8"/>
      <c r="AF23" s="8"/>
      <c r="AG23" s="8"/>
    </row>
    <row r="24" spans="1:33" x14ac:dyDescent="0.25">
      <c r="A24" s="8" t="s">
        <v>82</v>
      </c>
      <c r="B24" s="8" t="s">
        <v>163</v>
      </c>
      <c r="C24" s="8" t="s">
        <v>132</v>
      </c>
      <c r="D24" s="8" t="s">
        <v>130</v>
      </c>
      <c r="E24" s="8">
        <v>5</v>
      </c>
      <c r="F24" s="9">
        <v>6.9085999999999999</v>
      </c>
      <c r="G24" s="9">
        <v>5.5831</v>
      </c>
      <c r="H24" s="9">
        <v>8.2341999999999995</v>
      </c>
      <c r="I24" s="9">
        <v>0.95479999999999998</v>
      </c>
      <c r="J24" s="9">
        <v>71.042900000000003</v>
      </c>
      <c r="K24" s="9">
        <v>45.420299999999997</v>
      </c>
      <c r="L24" s="9">
        <v>96.665499999999994</v>
      </c>
      <c r="M24" s="9">
        <v>18.457100000000001</v>
      </c>
      <c r="N24" s="9">
        <v>8.3566000000000003</v>
      </c>
      <c r="O24" s="9">
        <v>6.8293999999999997</v>
      </c>
      <c r="P24" s="9">
        <v>9.8838000000000008</v>
      </c>
      <c r="Q24" s="9">
        <v>1.1001000000000001</v>
      </c>
      <c r="R24" s="9">
        <v>9.4681999999999995</v>
      </c>
      <c r="S24" s="9">
        <v>7.5651999999999999</v>
      </c>
      <c r="T24" s="9">
        <v>11.3713</v>
      </c>
      <c r="U24" s="9">
        <v>1.3708</v>
      </c>
      <c r="V24" s="9">
        <v>0.17480000000000001</v>
      </c>
      <c r="W24" s="9">
        <v>-3.0999999999999999E-3</v>
      </c>
      <c r="X24" s="9">
        <v>0.35270000000000001</v>
      </c>
      <c r="Y24" s="9">
        <v>0.12820000000000001</v>
      </c>
      <c r="Z24" s="9"/>
      <c r="AA24" s="9"/>
      <c r="AB24" s="9"/>
      <c r="AC24" s="9"/>
      <c r="AD24" s="8"/>
      <c r="AE24" s="8"/>
      <c r="AF24" s="8"/>
      <c r="AG24" s="8"/>
    </row>
    <row r="25" spans="1:33" x14ac:dyDescent="0.25">
      <c r="A25" s="8" t="s">
        <v>82</v>
      </c>
      <c r="B25" s="8" t="s">
        <v>163</v>
      </c>
      <c r="C25" s="8" t="s">
        <v>132</v>
      </c>
      <c r="D25" s="8" t="s">
        <v>127</v>
      </c>
      <c r="E25" s="8">
        <v>5</v>
      </c>
      <c r="F25" s="9">
        <v>11.647399999999999</v>
      </c>
      <c r="G25" s="9">
        <v>9.9397000000000002</v>
      </c>
      <c r="H25" s="9">
        <v>13.3552</v>
      </c>
      <c r="I25" s="9">
        <v>1.2301</v>
      </c>
      <c r="J25" s="9">
        <v>239.82390000000001</v>
      </c>
      <c r="K25" s="9">
        <v>164.1875</v>
      </c>
      <c r="L25" s="9">
        <v>315.46019999999999</v>
      </c>
      <c r="M25" s="9">
        <v>54.484299999999998</v>
      </c>
      <c r="N25" s="9">
        <v>15.3902</v>
      </c>
      <c r="O25" s="9">
        <v>12.999499999999999</v>
      </c>
      <c r="P25" s="9">
        <v>17.780899999999999</v>
      </c>
      <c r="Q25" s="9">
        <v>1.7221</v>
      </c>
      <c r="R25" s="9">
        <v>11.9564</v>
      </c>
      <c r="S25" s="9">
        <v>10.5715</v>
      </c>
      <c r="T25" s="9">
        <v>13.341200000000001</v>
      </c>
      <c r="U25" s="9">
        <v>0.99760000000000004</v>
      </c>
      <c r="V25" s="9">
        <v>5.45E-2</v>
      </c>
      <c r="W25" s="9">
        <v>-1.6500000000000001E-2</v>
      </c>
      <c r="X25" s="9">
        <v>0.12540000000000001</v>
      </c>
      <c r="Y25" s="9">
        <v>5.11E-2</v>
      </c>
      <c r="Z25" s="9"/>
      <c r="AA25" s="9"/>
      <c r="AB25" s="9"/>
      <c r="AC25" s="9"/>
      <c r="AD25" s="8"/>
      <c r="AE25" s="8"/>
      <c r="AF25" s="8"/>
      <c r="AG25" s="8"/>
    </row>
    <row r="26" spans="1:33" x14ac:dyDescent="0.25">
      <c r="A26" s="8" t="s">
        <v>82</v>
      </c>
      <c r="B26" s="8" t="s">
        <v>163</v>
      </c>
      <c r="C26" s="8" t="s">
        <v>132</v>
      </c>
      <c r="D26" s="8" t="s">
        <v>126</v>
      </c>
      <c r="E26" s="8">
        <v>5</v>
      </c>
      <c r="F26" s="9">
        <v>11.171900000000001</v>
      </c>
      <c r="G26" s="9">
        <v>9.7333999999999996</v>
      </c>
      <c r="H26" s="9">
        <v>12.6104</v>
      </c>
      <c r="I26" s="9">
        <v>1.0362</v>
      </c>
      <c r="J26" s="9">
        <v>187.74870000000001</v>
      </c>
      <c r="K26" s="9">
        <v>147.1439</v>
      </c>
      <c r="L26" s="9">
        <v>228.3536</v>
      </c>
      <c r="M26" s="9">
        <v>29.249500000000001</v>
      </c>
      <c r="N26" s="9">
        <v>13.657299999999999</v>
      </c>
      <c r="O26" s="9">
        <v>12.119199999999999</v>
      </c>
      <c r="P26" s="9">
        <v>15.1953</v>
      </c>
      <c r="Q26" s="9">
        <v>1.1079000000000001</v>
      </c>
      <c r="R26" s="9">
        <v>21.774699999999999</v>
      </c>
      <c r="S26" s="9">
        <v>19.547699999999999</v>
      </c>
      <c r="T26" s="9">
        <v>24.0017</v>
      </c>
      <c r="U26" s="9">
        <v>1.6042000000000001</v>
      </c>
      <c r="V26" s="9">
        <v>6.6900000000000001E-2</v>
      </c>
      <c r="W26" s="9">
        <v>-1.66E-2</v>
      </c>
      <c r="X26" s="9">
        <v>0.15049999999999999</v>
      </c>
      <c r="Y26" s="9">
        <v>6.0199999999999997E-2</v>
      </c>
      <c r="Z26" s="9"/>
      <c r="AA26" s="9"/>
      <c r="AB26" s="9"/>
      <c r="AC26" s="9"/>
      <c r="AD26" s="8"/>
      <c r="AE26" s="8"/>
      <c r="AF26" s="8"/>
      <c r="AG26" s="8"/>
    </row>
    <row r="27" spans="1:33" x14ac:dyDescent="0.25">
      <c r="A27" s="8" t="s">
        <v>82</v>
      </c>
      <c r="B27" s="8" t="s">
        <v>163</v>
      </c>
      <c r="C27" s="8" t="s">
        <v>132</v>
      </c>
      <c r="D27" s="8" t="s">
        <v>128</v>
      </c>
      <c r="E27" s="8">
        <v>5</v>
      </c>
      <c r="F27" s="9">
        <v>0.42580000000000001</v>
      </c>
      <c r="G27" s="9">
        <v>0.35720000000000002</v>
      </c>
      <c r="H27" s="9">
        <v>0.49440000000000001</v>
      </c>
      <c r="I27" s="9">
        <v>4.9399999999999999E-2</v>
      </c>
      <c r="J27" s="9">
        <v>0.27479999999999999</v>
      </c>
      <c r="K27" s="9">
        <v>0.186</v>
      </c>
      <c r="L27" s="9">
        <v>0.36349999999999999</v>
      </c>
      <c r="M27" s="9">
        <v>6.4000000000000001E-2</v>
      </c>
      <c r="N27" s="9">
        <v>0.52059999999999995</v>
      </c>
      <c r="O27" s="9">
        <v>0.43509999999999999</v>
      </c>
      <c r="P27" s="9">
        <v>0.60609999999999997</v>
      </c>
      <c r="Q27" s="9">
        <v>6.1600000000000002E-2</v>
      </c>
      <c r="R27" s="9">
        <v>7.306</v>
      </c>
      <c r="S27" s="9">
        <v>6.2629999999999999</v>
      </c>
      <c r="T27" s="9">
        <v>8.3491</v>
      </c>
      <c r="U27" s="9">
        <v>0.75129999999999997</v>
      </c>
      <c r="V27" s="9">
        <v>3.2599999999999997E-2</v>
      </c>
      <c r="W27" s="9">
        <v>-9.2499999999999999E-2</v>
      </c>
      <c r="X27" s="9">
        <v>0.15770000000000001</v>
      </c>
      <c r="Y27" s="9">
        <v>9.01E-2</v>
      </c>
      <c r="Z27" s="9"/>
      <c r="AA27" s="9"/>
      <c r="AB27" s="9"/>
      <c r="AC27" s="9"/>
      <c r="AD27" s="8"/>
      <c r="AE27" s="8"/>
      <c r="AF27" s="8"/>
      <c r="AG27" s="8"/>
    </row>
    <row r="28" spans="1:33" x14ac:dyDescent="0.25">
      <c r="A28" s="8" t="s">
        <v>82</v>
      </c>
      <c r="B28" s="8" t="s">
        <v>163</v>
      </c>
      <c r="C28" s="8" t="s">
        <v>132</v>
      </c>
      <c r="D28" s="8" t="s">
        <v>129</v>
      </c>
      <c r="E28" s="8">
        <v>5</v>
      </c>
      <c r="F28" s="9">
        <v>13.628500000000001</v>
      </c>
      <c r="G28" s="9">
        <v>10.920299999999999</v>
      </c>
      <c r="H28" s="9">
        <v>16.336600000000001</v>
      </c>
      <c r="I28" s="9">
        <v>1.9508000000000001</v>
      </c>
      <c r="J28" s="9">
        <v>291.5804</v>
      </c>
      <c r="K28" s="9">
        <v>191.07589999999999</v>
      </c>
      <c r="L28" s="9">
        <v>392.08499999999998</v>
      </c>
      <c r="M28" s="9">
        <v>72.397999999999996</v>
      </c>
      <c r="N28" s="9">
        <v>16.9558</v>
      </c>
      <c r="O28" s="9">
        <v>14.150600000000001</v>
      </c>
      <c r="P28" s="9">
        <v>19.760999999999999</v>
      </c>
      <c r="Q28" s="9">
        <v>2.0207000000000002</v>
      </c>
      <c r="R28" s="9">
        <v>10.1799</v>
      </c>
      <c r="S28" s="9">
        <v>7.8834</v>
      </c>
      <c r="T28" s="9">
        <v>12.4763</v>
      </c>
      <c r="U28" s="9">
        <v>1.6543000000000001</v>
      </c>
      <c r="V28" s="9">
        <v>0.13220000000000001</v>
      </c>
      <c r="W28" s="9">
        <v>4.58E-2</v>
      </c>
      <c r="X28" s="9">
        <v>0.21859999999999999</v>
      </c>
      <c r="Y28" s="9">
        <v>6.2300000000000001E-2</v>
      </c>
      <c r="Z28" s="9"/>
      <c r="AA28" s="9"/>
      <c r="AB28" s="9"/>
      <c r="AC28" s="9"/>
      <c r="AD28" s="8"/>
      <c r="AE28" s="8"/>
      <c r="AF28" s="8"/>
      <c r="AG28" s="8"/>
    </row>
    <row r="29" spans="1:33" x14ac:dyDescent="0.25">
      <c r="A29" s="8" t="s">
        <v>82</v>
      </c>
      <c r="B29" s="8" t="s">
        <v>163</v>
      </c>
      <c r="C29" s="8" t="s">
        <v>132</v>
      </c>
      <c r="D29" s="8" t="s">
        <v>125</v>
      </c>
      <c r="E29" s="8">
        <v>5</v>
      </c>
      <c r="F29" s="9">
        <v>33.136699999999998</v>
      </c>
      <c r="G29" s="9">
        <v>29.401299999999999</v>
      </c>
      <c r="H29" s="9">
        <v>36.872199999999999</v>
      </c>
      <c r="I29" s="9">
        <v>2.6907999999999999</v>
      </c>
      <c r="J29" s="9">
        <v>1685.0241000000001</v>
      </c>
      <c r="K29" s="9">
        <v>1345.6946</v>
      </c>
      <c r="L29" s="9">
        <v>2024.3534999999999</v>
      </c>
      <c r="M29" s="9">
        <v>244.43450000000001</v>
      </c>
      <c r="N29" s="9">
        <v>40.939799999999998</v>
      </c>
      <c r="O29" s="9">
        <v>36.784100000000002</v>
      </c>
      <c r="P29" s="9">
        <v>45.095399999999998</v>
      </c>
      <c r="Q29" s="9">
        <v>2.9935</v>
      </c>
      <c r="R29" s="9">
        <v>18.245000000000001</v>
      </c>
      <c r="S29" s="9">
        <v>15.3468</v>
      </c>
      <c r="T29" s="9">
        <v>21.1432</v>
      </c>
      <c r="U29" s="9">
        <v>2.0876999999999999</v>
      </c>
      <c r="V29" s="9">
        <v>-1.3899999999999999E-2</v>
      </c>
      <c r="W29" s="9">
        <v>-0.21540000000000001</v>
      </c>
      <c r="X29" s="9">
        <v>0.18770000000000001</v>
      </c>
      <c r="Y29" s="9">
        <v>0.1452</v>
      </c>
      <c r="Z29" s="9"/>
      <c r="AA29" s="9"/>
      <c r="AB29" s="9"/>
      <c r="AC29" s="9"/>
      <c r="AD29" s="8"/>
      <c r="AE29" s="8"/>
      <c r="AF29" s="8"/>
      <c r="AG29" s="8"/>
    </row>
    <row r="30" spans="1:33" x14ac:dyDescent="0.25">
      <c r="A30" s="8" t="s">
        <v>82</v>
      </c>
      <c r="B30" s="8" t="s">
        <v>163</v>
      </c>
      <c r="C30" s="8" t="s">
        <v>133</v>
      </c>
      <c r="D30" s="8" t="s">
        <v>88</v>
      </c>
      <c r="E30" s="8">
        <v>5</v>
      </c>
      <c r="F30" s="9">
        <v>4.5350000000000001</v>
      </c>
      <c r="G30" s="9">
        <v>3.8942000000000001</v>
      </c>
      <c r="H30" s="9">
        <v>5.1759000000000004</v>
      </c>
      <c r="I30" s="9">
        <v>0.46160000000000001</v>
      </c>
      <c r="J30" s="9">
        <v>30.707899999999999</v>
      </c>
      <c r="K30" s="9">
        <v>21.636800000000001</v>
      </c>
      <c r="L30" s="9">
        <v>39.779000000000003</v>
      </c>
      <c r="M30" s="9">
        <v>6.5343</v>
      </c>
      <c r="N30" s="9">
        <v>5.51</v>
      </c>
      <c r="O30" s="9">
        <v>4.6909999999999998</v>
      </c>
      <c r="P30" s="9">
        <v>6.3289999999999997</v>
      </c>
      <c r="Q30" s="9">
        <v>0.59</v>
      </c>
      <c r="R30" s="9">
        <v>17.673300000000001</v>
      </c>
      <c r="S30" s="9">
        <v>12.779199999999999</v>
      </c>
      <c r="T30" s="9">
        <v>22.567499999999999</v>
      </c>
      <c r="U30" s="9">
        <v>3.5255000000000001</v>
      </c>
      <c r="V30" s="9">
        <v>-6.0600000000000001E-2</v>
      </c>
      <c r="W30" s="9">
        <v>-0.1192</v>
      </c>
      <c r="X30" s="9">
        <v>-2E-3</v>
      </c>
      <c r="Y30" s="9">
        <v>4.2200000000000001E-2</v>
      </c>
      <c r="Z30" s="9"/>
      <c r="AA30" s="9"/>
      <c r="AB30" s="9"/>
      <c r="AC30" s="9"/>
      <c r="AD30" s="8"/>
      <c r="AE30" s="8"/>
      <c r="AF30" s="8"/>
      <c r="AG30" s="8"/>
    </row>
    <row r="31" spans="1:33" x14ac:dyDescent="0.25">
      <c r="A31" s="8" t="s">
        <v>82</v>
      </c>
      <c r="B31" s="8" t="s">
        <v>163</v>
      </c>
      <c r="C31" s="8" t="s">
        <v>133</v>
      </c>
      <c r="D31" s="8" t="s">
        <v>130</v>
      </c>
      <c r="E31" s="8">
        <v>5</v>
      </c>
      <c r="F31" s="9">
        <v>7.3936999999999999</v>
      </c>
      <c r="G31" s="9">
        <v>6.5111999999999997</v>
      </c>
      <c r="H31" s="9">
        <v>8.2761999999999993</v>
      </c>
      <c r="I31" s="9">
        <v>0.63570000000000004</v>
      </c>
      <c r="J31" s="9">
        <v>88.407799999999995</v>
      </c>
      <c r="K31" s="9">
        <v>63.6691</v>
      </c>
      <c r="L31" s="9">
        <v>113.1464</v>
      </c>
      <c r="M31" s="9">
        <v>17.820399999999999</v>
      </c>
      <c r="N31" s="9">
        <v>9.3574000000000002</v>
      </c>
      <c r="O31" s="9">
        <v>8.0791000000000004</v>
      </c>
      <c r="P31" s="9">
        <v>10.6356</v>
      </c>
      <c r="Q31" s="9">
        <v>0.92079999999999995</v>
      </c>
      <c r="R31" s="9">
        <v>10.1913</v>
      </c>
      <c r="S31" s="9">
        <v>8.7933000000000003</v>
      </c>
      <c r="T31" s="9">
        <v>11.5893</v>
      </c>
      <c r="U31" s="9">
        <v>1.0069999999999999</v>
      </c>
      <c r="V31" s="9">
        <v>-3.1399999999999997E-2</v>
      </c>
      <c r="W31" s="9">
        <v>-8.1000000000000003E-2</v>
      </c>
      <c r="X31" s="9">
        <v>1.83E-2</v>
      </c>
      <c r="Y31" s="9">
        <v>3.5799999999999998E-2</v>
      </c>
      <c r="Z31" s="9"/>
      <c r="AA31" s="9"/>
      <c r="AB31" s="9"/>
      <c r="AC31" s="9"/>
      <c r="AD31" s="8"/>
      <c r="AE31" s="8"/>
      <c r="AF31" s="8"/>
      <c r="AG31" s="8"/>
    </row>
    <row r="32" spans="1:33" x14ac:dyDescent="0.25">
      <c r="A32" s="8" t="s">
        <v>82</v>
      </c>
      <c r="B32" s="8" t="s">
        <v>163</v>
      </c>
      <c r="C32" s="8" t="s">
        <v>133</v>
      </c>
      <c r="D32" s="8" t="s">
        <v>127</v>
      </c>
      <c r="E32" s="8">
        <v>5</v>
      </c>
      <c r="F32" s="9">
        <v>12.0707</v>
      </c>
      <c r="G32" s="9">
        <v>10.6633</v>
      </c>
      <c r="H32" s="9">
        <v>13.4781</v>
      </c>
      <c r="I32" s="9">
        <v>1.0138</v>
      </c>
      <c r="J32" s="9">
        <v>254.7878</v>
      </c>
      <c r="K32" s="9">
        <v>188.84450000000001</v>
      </c>
      <c r="L32" s="9">
        <v>320.73110000000003</v>
      </c>
      <c r="M32" s="9">
        <v>47.502000000000002</v>
      </c>
      <c r="N32" s="9">
        <v>15.896599999999999</v>
      </c>
      <c r="O32" s="9">
        <v>13.891299999999999</v>
      </c>
      <c r="P32" s="9">
        <v>17.901900000000001</v>
      </c>
      <c r="Q32" s="9">
        <v>1.4444999999999999</v>
      </c>
      <c r="R32" s="9">
        <v>12.383100000000001</v>
      </c>
      <c r="S32" s="9">
        <v>11.3133</v>
      </c>
      <c r="T32" s="9">
        <v>13.452999999999999</v>
      </c>
      <c r="U32" s="9">
        <v>0.77059999999999995</v>
      </c>
      <c r="V32" s="9">
        <v>-1.1599999999999999E-2</v>
      </c>
      <c r="W32" s="9">
        <v>-2.52E-2</v>
      </c>
      <c r="X32" s="9">
        <v>1.9E-3</v>
      </c>
      <c r="Y32" s="9">
        <v>9.7999999999999997E-3</v>
      </c>
      <c r="Z32" s="9"/>
      <c r="AA32" s="9"/>
      <c r="AB32" s="9"/>
      <c r="AC32" s="9"/>
      <c r="AD32" s="8"/>
      <c r="AE32" s="8"/>
      <c r="AF32" s="8"/>
      <c r="AG32" s="8"/>
    </row>
    <row r="33" spans="1:33" x14ac:dyDescent="0.25">
      <c r="A33" s="8" t="s">
        <v>82</v>
      </c>
      <c r="B33" s="8" t="s">
        <v>163</v>
      </c>
      <c r="C33" s="8" t="s">
        <v>133</v>
      </c>
      <c r="D33" s="8" t="s">
        <v>126</v>
      </c>
      <c r="E33" s="8">
        <v>5</v>
      </c>
      <c r="F33" s="9">
        <v>11.803900000000001</v>
      </c>
      <c r="G33" s="9">
        <v>10.4053</v>
      </c>
      <c r="H33" s="9">
        <v>13.2026</v>
      </c>
      <c r="I33" s="9">
        <v>1.0075000000000001</v>
      </c>
      <c r="J33" s="9">
        <v>204.4341</v>
      </c>
      <c r="K33" s="9">
        <v>164.86789999999999</v>
      </c>
      <c r="L33" s="9">
        <v>244.00030000000001</v>
      </c>
      <c r="M33" s="9">
        <v>28.501300000000001</v>
      </c>
      <c r="N33" s="9">
        <v>14.2605</v>
      </c>
      <c r="O33" s="9">
        <v>12.822100000000001</v>
      </c>
      <c r="P33" s="9">
        <v>15.6988</v>
      </c>
      <c r="Q33" s="9">
        <v>1.0361</v>
      </c>
      <c r="R33" s="9">
        <v>22.715499999999999</v>
      </c>
      <c r="S33" s="9">
        <v>20.7226</v>
      </c>
      <c r="T33" s="9">
        <v>24.708300000000001</v>
      </c>
      <c r="U33" s="9">
        <v>1.4356</v>
      </c>
      <c r="V33" s="9">
        <v>-1.66E-2</v>
      </c>
      <c r="W33" s="9">
        <v>-2.8299999999999999E-2</v>
      </c>
      <c r="X33" s="9">
        <v>-4.7999999999999996E-3</v>
      </c>
      <c r="Y33" s="9">
        <v>8.5000000000000006E-3</v>
      </c>
      <c r="Z33" s="9"/>
      <c r="AA33" s="9"/>
      <c r="AB33" s="9"/>
      <c r="AC33" s="9"/>
      <c r="AD33" s="8"/>
      <c r="AE33" s="8"/>
      <c r="AF33" s="8"/>
      <c r="AG33" s="8"/>
    </row>
    <row r="34" spans="1:33" x14ac:dyDescent="0.25">
      <c r="A34" s="8" t="s">
        <v>82</v>
      </c>
      <c r="B34" s="8" t="s">
        <v>163</v>
      </c>
      <c r="C34" s="8" t="s">
        <v>133</v>
      </c>
      <c r="D34" s="8" t="s">
        <v>128</v>
      </c>
      <c r="E34" s="8">
        <v>5</v>
      </c>
      <c r="F34" s="9">
        <v>0.43530000000000002</v>
      </c>
      <c r="G34" s="9">
        <v>0.37230000000000002</v>
      </c>
      <c r="H34" s="9">
        <v>0.49840000000000001</v>
      </c>
      <c r="I34" s="9">
        <v>4.5400000000000003E-2</v>
      </c>
      <c r="J34" s="9">
        <v>0.28910000000000002</v>
      </c>
      <c r="K34" s="9">
        <v>0.21060000000000001</v>
      </c>
      <c r="L34" s="9">
        <v>0.36749999999999999</v>
      </c>
      <c r="M34" s="9">
        <v>5.6500000000000002E-2</v>
      </c>
      <c r="N34" s="9">
        <v>0.5353</v>
      </c>
      <c r="O34" s="9">
        <v>0.4652</v>
      </c>
      <c r="P34" s="9">
        <v>0.60540000000000005</v>
      </c>
      <c r="Q34" s="9">
        <v>5.0500000000000003E-2</v>
      </c>
      <c r="R34" s="9">
        <v>7.4667000000000003</v>
      </c>
      <c r="S34" s="9">
        <v>6.4717000000000002</v>
      </c>
      <c r="T34" s="9">
        <v>8.4617000000000004</v>
      </c>
      <c r="U34" s="9">
        <v>0.7167</v>
      </c>
      <c r="V34" s="9">
        <v>-2.47E-2</v>
      </c>
      <c r="W34" s="9">
        <v>-6.7199999999999996E-2</v>
      </c>
      <c r="X34" s="9">
        <v>1.78E-2</v>
      </c>
      <c r="Y34" s="9">
        <v>3.0599999999999999E-2</v>
      </c>
      <c r="Z34" s="9"/>
      <c r="AA34" s="9"/>
      <c r="AB34" s="9"/>
      <c r="AC34" s="9"/>
      <c r="AD34" s="8"/>
      <c r="AE34" s="8"/>
      <c r="AF34" s="8"/>
      <c r="AG34" s="8"/>
    </row>
    <row r="35" spans="1:33" x14ac:dyDescent="0.25">
      <c r="A35" s="8" t="s">
        <v>82</v>
      </c>
      <c r="B35" s="8" t="s">
        <v>163</v>
      </c>
      <c r="C35" s="8" t="s">
        <v>133</v>
      </c>
      <c r="D35" s="8" t="s">
        <v>129</v>
      </c>
      <c r="E35" s="8">
        <v>5</v>
      </c>
      <c r="F35" s="9">
        <v>14.224399999999999</v>
      </c>
      <c r="G35" s="9">
        <v>11.1617</v>
      </c>
      <c r="H35" s="9">
        <v>17.287099999999999</v>
      </c>
      <c r="I35" s="9">
        <v>2.2061999999999999</v>
      </c>
      <c r="J35" s="9">
        <v>343.43130000000002</v>
      </c>
      <c r="K35" s="9">
        <v>240.6943</v>
      </c>
      <c r="L35" s="9">
        <v>446.16829999999999</v>
      </c>
      <c r="M35" s="9">
        <v>74.006100000000004</v>
      </c>
      <c r="N35" s="9">
        <v>18.4314</v>
      </c>
      <c r="O35" s="9">
        <v>15.756500000000001</v>
      </c>
      <c r="P35" s="9">
        <v>21.106400000000001</v>
      </c>
      <c r="Q35" s="9">
        <v>1.9269000000000001</v>
      </c>
      <c r="R35" s="9">
        <v>10.678900000000001</v>
      </c>
      <c r="S35" s="9">
        <v>7.9375999999999998</v>
      </c>
      <c r="T35" s="9">
        <v>13.4201</v>
      </c>
      <c r="U35" s="9">
        <v>1.9745999999999999</v>
      </c>
      <c r="V35" s="9">
        <v>-2.5999999999999999E-2</v>
      </c>
      <c r="W35" s="9">
        <v>-5.6500000000000002E-2</v>
      </c>
      <c r="X35" s="9">
        <v>4.4999999999999997E-3</v>
      </c>
      <c r="Y35" s="9">
        <v>2.1999999999999999E-2</v>
      </c>
      <c r="Z35" s="9"/>
      <c r="AA35" s="9"/>
      <c r="AB35" s="9"/>
      <c r="AC35" s="9"/>
      <c r="AD35" s="8"/>
      <c r="AE35" s="8"/>
      <c r="AF35" s="8"/>
      <c r="AG35" s="8"/>
    </row>
    <row r="36" spans="1:33" x14ac:dyDescent="0.25">
      <c r="A36" s="8" t="s">
        <v>82</v>
      </c>
      <c r="B36" s="8" t="s">
        <v>163</v>
      </c>
      <c r="C36" s="8" t="s">
        <v>133</v>
      </c>
      <c r="D36" s="8" t="s">
        <v>125</v>
      </c>
      <c r="E36" s="8">
        <v>5</v>
      </c>
      <c r="F36" s="9">
        <v>34.706099999999999</v>
      </c>
      <c r="G36" s="9">
        <v>33.032499999999999</v>
      </c>
      <c r="H36" s="9">
        <v>36.379800000000003</v>
      </c>
      <c r="I36" s="9">
        <v>1.2056</v>
      </c>
      <c r="J36" s="9">
        <v>1782.4883</v>
      </c>
      <c r="K36" s="9">
        <v>1580.9226000000001</v>
      </c>
      <c r="L36" s="9">
        <v>1984.0539000000001</v>
      </c>
      <c r="M36" s="9">
        <v>145.1969</v>
      </c>
      <c r="N36" s="9">
        <v>42.1845</v>
      </c>
      <c r="O36" s="9">
        <v>39.796900000000001</v>
      </c>
      <c r="P36" s="9">
        <v>44.572099999999999</v>
      </c>
      <c r="Q36" s="9">
        <v>1.7199</v>
      </c>
      <c r="R36" s="9">
        <v>19.284800000000001</v>
      </c>
      <c r="S36" s="9">
        <v>17.0092</v>
      </c>
      <c r="T36" s="9">
        <v>21.560400000000001</v>
      </c>
      <c r="U36" s="9">
        <v>1.6392</v>
      </c>
      <c r="V36" s="9">
        <v>-7.1599999999999997E-2</v>
      </c>
      <c r="W36" s="9">
        <v>-0.17829999999999999</v>
      </c>
      <c r="X36" s="9">
        <v>3.5099999999999999E-2</v>
      </c>
      <c r="Y36" s="9">
        <v>7.6799999999999993E-2</v>
      </c>
      <c r="Z36" s="9"/>
      <c r="AA36" s="9"/>
      <c r="AB36" s="9"/>
      <c r="AC36" s="9"/>
      <c r="AD36" s="8"/>
      <c r="AE36" s="8"/>
      <c r="AF36" s="8"/>
      <c r="AG36" s="8"/>
    </row>
    <row r="37" spans="1:33" x14ac:dyDescent="0.25">
      <c r="A37" s="8" t="s">
        <v>82</v>
      </c>
      <c r="B37" s="8" t="s">
        <v>163</v>
      </c>
      <c r="C37" s="8" t="s">
        <v>134</v>
      </c>
      <c r="D37" s="8" t="s">
        <v>88</v>
      </c>
      <c r="E37" s="8">
        <v>5</v>
      </c>
      <c r="F37" s="9">
        <v>4.4039000000000001</v>
      </c>
      <c r="G37" s="9">
        <v>3.8321000000000001</v>
      </c>
      <c r="H37" s="9">
        <v>4.9756999999999998</v>
      </c>
      <c r="I37" s="9">
        <v>0.41189999999999999</v>
      </c>
      <c r="J37" s="9">
        <v>29.892800000000001</v>
      </c>
      <c r="K37" s="9">
        <v>21.779699999999998</v>
      </c>
      <c r="L37" s="9">
        <v>38.006</v>
      </c>
      <c r="M37" s="9">
        <v>5.8442999999999996</v>
      </c>
      <c r="N37" s="9">
        <v>5.4405999999999999</v>
      </c>
      <c r="O37" s="9">
        <v>4.6900000000000004</v>
      </c>
      <c r="P37" s="9">
        <v>6.1912000000000003</v>
      </c>
      <c r="Q37" s="9">
        <v>0.54069999999999996</v>
      </c>
      <c r="R37" s="9">
        <v>16.751300000000001</v>
      </c>
      <c r="S37" s="9">
        <v>12.3766</v>
      </c>
      <c r="T37" s="9">
        <v>21.126000000000001</v>
      </c>
      <c r="U37" s="9">
        <v>3.1513</v>
      </c>
      <c r="V37" s="9">
        <v>-3.5499999999999997E-2</v>
      </c>
      <c r="W37" s="9">
        <v>-8.9599999999999999E-2</v>
      </c>
      <c r="X37" s="9">
        <v>1.8599999999999998E-2</v>
      </c>
      <c r="Y37" s="9">
        <v>3.9E-2</v>
      </c>
      <c r="Z37" s="9"/>
      <c r="AA37" s="9"/>
      <c r="AB37" s="9"/>
      <c r="AC37" s="9"/>
      <c r="AD37" s="8"/>
      <c r="AE37" s="8"/>
      <c r="AF37" s="8"/>
      <c r="AG37" s="8"/>
    </row>
    <row r="38" spans="1:33" x14ac:dyDescent="0.25">
      <c r="A38" s="8" t="s">
        <v>82</v>
      </c>
      <c r="B38" s="8" t="s">
        <v>163</v>
      </c>
      <c r="C38" s="8" t="s">
        <v>134</v>
      </c>
      <c r="D38" s="8" t="s">
        <v>130</v>
      </c>
      <c r="E38" s="8">
        <v>5</v>
      </c>
      <c r="F38" s="9">
        <v>7.4259000000000004</v>
      </c>
      <c r="G38" s="9">
        <v>6.5769000000000002</v>
      </c>
      <c r="H38" s="9">
        <v>8.2750000000000004</v>
      </c>
      <c r="I38" s="9">
        <v>0.61160000000000003</v>
      </c>
      <c r="J38" s="9">
        <v>89.185699999999997</v>
      </c>
      <c r="K38" s="9">
        <v>65.536900000000003</v>
      </c>
      <c r="L38" s="9">
        <v>112.83459999999999</v>
      </c>
      <c r="M38" s="9">
        <v>17.035299999999999</v>
      </c>
      <c r="N38" s="9">
        <v>9.4032</v>
      </c>
      <c r="O38" s="9">
        <v>8.1880000000000006</v>
      </c>
      <c r="P38" s="9">
        <v>10.6183</v>
      </c>
      <c r="Q38" s="9">
        <v>0.87529999999999997</v>
      </c>
      <c r="R38" s="9">
        <v>10.2247</v>
      </c>
      <c r="S38" s="9">
        <v>8.8567</v>
      </c>
      <c r="T38" s="9">
        <v>11.5928</v>
      </c>
      <c r="U38" s="9">
        <v>0.98550000000000004</v>
      </c>
      <c r="V38" s="9">
        <v>-4.3099999999999999E-2</v>
      </c>
      <c r="W38" s="9">
        <v>-0.1106</v>
      </c>
      <c r="X38" s="9">
        <v>2.4400000000000002E-2</v>
      </c>
      <c r="Y38" s="9">
        <v>4.8599999999999997E-2</v>
      </c>
      <c r="Z38" s="9"/>
      <c r="AA38" s="9"/>
      <c r="AB38" s="9"/>
      <c r="AC38" s="9"/>
      <c r="AD38" s="8"/>
      <c r="AE38" s="8"/>
      <c r="AF38" s="8"/>
      <c r="AG38" s="8"/>
    </row>
    <row r="39" spans="1:33" x14ac:dyDescent="0.25">
      <c r="A39" s="8" t="s">
        <v>82</v>
      </c>
      <c r="B39" s="8" t="s">
        <v>163</v>
      </c>
      <c r="C39" s="8" t="s">
        <v>134</v>
      </c>
      <c r="D39" s="8" t="s">
        <v>127</v>
      </c>
      <c r="E39" s="8">
        <v>5</v>
      </c>
      <c r="F39" s="9">
        <v>11.979900000000001</v>
      </c>
      <c r="G39" s="9">
        <v>10.4254</v>
      </c>
      <c r="H39" s="9">
        <v>13.5344</v>
      </c>
      <c r="I39" s="9">
        <v>1.1197999999999999</v>
      </c>
      <c r="J39" s="9">
        <v>262.68340000000001</v>
      </c>
      <c r="K39" s="9">
        <v>185.64670000000001</v>
      </c>
      <c r="L39" s="9">
        <v>339.7201</v>
      </c>
      <c r="M39" s="9">
        <v>55.493099999999998</v>
      </c>
      <c r="N39" s="9">
        <v>16.1234</v>
      </c>
      <c r="O39" s="9">
        <v>13.8339</v>
      </c>
      <c r="P39" s="9">
        <v>18.4129</v>
      </c>
      <c r="Q39" s="9">
        <v>1.6492</v>
      </c>
      <c r="R39" s="9">
        <v>11.930099999999999</v>
      </c>
      <c r="S39" s="9">
        <v>10.7765</v>
      </c>
      <c r="T39" s="9">
        <v>13.0837</v>
      </c>
      <c r="U39" s="9">
        <v>0.83099999999999996</v>
      </c>
      <c r="V39" s="9">
        <v>-3.9100000000000003E-2</v>
      </c>
      <c r="W39" s="9">
        <v>-8.6699999999999999E-2</v>
      </c>
      <c r="X39" s="9">
        <v>8.3999999999999995E-3</v>
      </c>
      <c r="Y39" s="9">
        <v>3.4200000000000001E-2</v>
      </c>
      <c r="Z39" s="9"/>
      <c r="AA39" s="9"/>
      <c r="AB39" s="9"/>
      <c r="AC39" s="9"/>
      <c r="AD39" s="8"/>
      <c r="AE39" s="8"/>
      <c r="AF39" s="8"/>
      <c r="AG39" s="8"/>
    </row>
    <row r="40" spans="1:33" x14ac:dyDescent="0.25">
      <c r="A40" s="8" t="s">
        <v>82</v>
      </c>
      <c r="B40" s="8" t="s">
        <v>163</v>
      </c>
      <c r="C40" s="8" t="s">
        <v>134</v>
      </c>
      <c r="D40" s="8" t="s">
        <v>126</v>
      </c>
      <c r="E40" s="8">
        <v>5</v>
      </c>
      <c r="F40" s="9">
        <v>11.694900000000001</v>
      </c>
      <c r="G40" s="9">
        <v>9.9557000000000002</v>
      </c>
      <c r="H40" s="9">
        <v>13.434200000000001</v>
      </c>
      <c r="I40" s="9">
        <v>1.2528999999999999</v>
      </c>
      <c r="J40" s="9">
        <v>211.82929999999999</v>
      </c>
      <c r="K40" s="9">
        <v>163.91550000000001</v>
      </c>
      <c r="L40" s="9">
        <v>259.74310000000003</v>
      </c>
      <c r="M40" s="9">
        <v>34.514499999999998</v>
      </c>
      <c r="N40" s="9">
        <v>14.502000000000001</v>
      </c>
      <c r="O40" s="9">
        <v>12.789899999999999</v>
      </c>
      <c r="P40" s="9">
        <v>16.214200000000002</v>
      </c>
      <c r="Q40" s="9">
        <v>1.2333000000000001</v>
      </c>
      <c r="R40" s="9">
        <v>21.636700000000001</v>
      </c>
      <c r="S40" s="9">
        <v>19.228999999999999</v>
      </c>
      <c r="T40" s="9">
        <v>24.0444</v>
      </c>
      <c r="U40" s="9">
        <v>1.7343999999999999</v>
      </c>
      <c r="V40" s="9">
        <v>-4.99E-2</v>
      </c>
      <c r="W40" s="9">
        <v>-0.1069</v>
      </c>
      <c r="X40" s="9">
        <v>7.1000000000000004E-3</v>
      </c>
      <c r="Y40" s="9">
        <v>4.1099999999999998E-2</v>
      </c>
      <c r="Z40" s="9"/>
      <c r="AA40" s="9"/>
      <c r="AB40" s="9"/>
      <c r="AC40" s="9"/>
      <c r="AD40" s="8"/>
      <c r="AE40" s="8"/>
      <c r="AF40" s="8"/>
      <c r="AG40" s="8"/>
    </row>
    <row r="41" spans="1:33" x14ac:dyDescent="0.25">
      <c r="A41" s="8" t="s">
        <v>82</v>
      </c>
      <c r="B41" s="8" t="s">
        <v>163</v>
      </c>
      <c r="C41" s="8" t="s">
        <v>134</v>
      </c>
      <c r="D41" s="8" t="s">
        <v>128</v>
      </c>
      <c r="E41" s="8">
        <v>5</v>
      </c>
      <c r="F41" s="9">
        <v>0.43169999999999997</v>
      </c>
      <c r="G41" s="9">
        <v>0.36449999999999999</v>
      </c>
      <c r="H41" s="9">
        <v>0.49890000000000001</v>
      </c>
      <c r="I41" s="9">
        <v>4.8399999999999999E-2</v>
      </c>
      <c r="J41" s="9">
        <v>0.28949999999999998</v>
      </c>
      <c r="K41" s="9">
        <v>0.2072</v>
      </c>
      <c r="L41" s="9">
        <v>0.37169999999999997</v>
      </c>
      <c r="M41" s="9">
        <v>5.9200000000000003E-2</v>
      </c>
      <c r="N41" s="9">
        <v>0.53539999999999999</v>
      </c>
      <c r="O41" s="9">
        <v>0.46179999999999999</v>
      </c>
      <c r="P41" s="9">
        <v>0.60899999999999999</v>
      </c>
      <c r="Q41" s="9">
        <v>5.2999999999999999E-2</v>
      </c>
      <c r="R41" s="9">
        <v>7.3722000000000003</v>
      </c>
      <c r="S41" s="9">
        <v>6.3251999999999997</v>
      </c>
      <c r="T41" s="9">
        <v>8.4192</v>
      </c>
      <c r="U41" s="9">
        <v>0.75419999999999998</v>
      </c>
      <c r="V41" s="9">
        <v>-2.4E-2</v>
      </c>
      <c r="W41" s="9">
        <v>-4.3299999999999998E-2</v>
      </c>
      <c r="X41" s="9">
        <v>-4.7000000000000002E-3</v>
      </c>
      <c r="Y41" s="9">
        <v>1.3899999999999999E-2</v>
      </c>
      <c r="Z41" s="9"/>
      <c r="AA41" s="9"/>
      <c r="AB41" s="9"/>
      <c r="AC41" s="9"/>
      <c r="AD41" s="8"/>
      <c r="AE41" s="8"/>
      <c r="AF41" s="8"/>
      <c r="AG41" s="8"/>
    </row>
    <row r="42" spans="1:33" x14ac:dyDescent="0.25">
      <c r="A42" s="8" t="s">
        <v>82</v>
      </c>
      <c r="B42" s="8" t="s">
        <v>163</v>
      </c>
      <c r="C42" s="8" t="s">
        <v>134</v>
      </c>
      <c r="D42" s="8" t="s">
        <v>129</v>
      </c>
      <c r="E42" s="8">
        <v>5</v>
      </c>
      <c r="F42" s="9">
        <v>14.368399999999999</v>
      </c>
      <c r="G42" s="9">
        <v>11.6168</v>
      </c>
      <c r="H42" s="9">
        <v>17.12</v>
      </c>
      <c r="I42" s="9">
        <v>1.9821</v>
      </c>
      <c r="J42" s="9">
        <v>347.12079999999997</v>
      </c>
      <c r="K42" s="9">
        <v>253.50649999999999</v>
      </c>
      <c r="L42" s="9">
        <v>440.73500000000001</v>
      </c>
      <c r="M42" s="9">
        <v>67.434600000000003</v>
      </c>
      <c r="N42" s="9">
        <v>18.5501</v>
      </c>
      <c r="O42" s="9">
        <v>16.139500000000002</v>
      </c>
      <c r="P42" s="9">
        <v>20.960699999999999</v>
      </c>
      <c r="Q42" s="9">
        <v>1.7364999999999999</v>
      </c>
      <c r="R42" s="9">
        <v>10.645300000000001</v>
      </c>
      <c r="S42" s="9">
        <v>8.1738</v>
      </c>
      <c r="T42" s="9">
        <v>13.1168</v>
      </c>
      <c r="U42" s="9">
        <v>1.7803</v>
      </c>
      <c r="V42" s="9">
        <v>-4.2500000000000003E-2</v>
      </c>
      <c r="W42" s="9">
        <v>-0.11559999999999999</v>
      </c>
      <c r="X42" s="9">
        <v>3.0499999999999999E-2</v>
      </c>
      <c r="Y42" s="9">
        <v>5.2600000000000001E-2</v>
      </c>
      <c r="Z42" s="9"/>
      <c r="AA42" s="9"/>
      <c r="AB42" s="9"/>
      <c r="AC42" s="9"/>
      <c r="AD42" s="8"/>
      <c r="AE42" s="8"/>
      <c r="AF42" s="8"/>
      <c r="AG42" s="8"/>
    </row>
    <row r="43" spans="1:33" x14ac:dyDescent="0.25">
      <c r="A43" s="8" t="s">
        <v>82</v>
      </c>
      <c r="B43" s="8" t="s">
        <v>163</v>
      </c>
      <c r="C43" s="8" t="s">
        <v>134</v>
      </c>
      <c r="D43" s="8" t="s">
        <v>125</v>
      </c>
      <c r="E43" s="8">
        <v>5</v>
      </c>
      <c r="F43" s="9">
        <v>34.928800000000003</v>
      </c>
      <c r="G43" s="9">
        <v>33.395800000000001</v>
      </c>
      <c r="H43" s="9">
        <v>36.4619</v>
      </c>
      <c r="I43" s="9">
        <v>1.1043000000000001</v>
      </c>
      <c r="J43" s="9">
        <v>1816.9066</v>
      </c>
      <c r="K43" s="9">
        <v>1606.1052</v>
      </c>
      <c r="L43" s="9">
        <v>2027.7080000000001</v>
      </c>
      <c r="M43" s="9">
        <v>151.84989999999999</v>
      </c>
      <c r="N43" s="9">
        <v>42.587600000000002</v>
      </c>
      <c r="O43" s="9">
        <v>40.101900000000001</v>
      </c>
      <c r="P43" s="9">
        <v>45.073300000000003</v>
      </c>
      <c r="Q43" s="9">
        <v>1.7906</v>
      </c>
      <c r="R43" s="9">
        <v>19.2057</v>
      </c>
      <c r="S43" s="9">
        <v>17.073399999999999</v>
      </c>
      <c r="T43" s="9">
        <v>21.338000000000001</v>
      </c>
      <c r="U43" s="9">
        <v>1.536</v>
      </c>
      <c r="V43" s="9">
        <v>-9.3299999999999994E-2</v>
      </c>
      <c r="W43" s="9">
        <v>-0.22439999999999999</v>
      </c>
      <c r="X43" s="9">
        <v>3.7900000000000003E-2</v>
      </c>
      <c r="Y43" s="9">
        <v>9.4500000000000001E-2</v>
      </c>
      <c r="Z43" s="9"/>
      <c r="AA43" s="9"/>
      <c r="AB43" s="9"/>
      <c r="AC43" s="9"/>
      <c r="AD43" s="8"/>
      <c r="AE43" s="8"/>
      <c r="AF43" s="8"/>
      <c r="AG43" s="8"/>
    </row>
    <row r="44" spans="1:33" x14ac:dyDescent="0.25">
      <c r="A44" s="8" t="s">
        <v>82</v>
      </c>
      <c r="B44" s="8" t="s">
        <v>163</v>
      </c>
      <c r="C44" s="8" t="s">
        <v>124</v>
      </c>
      <c r="D44" s="8" t="s">
        <v>88</v>
      </c>
      <c r="E44" s="8">
        <v>5</v>
      </c>
      <c r="F44" s="9">
        <v>4.2625000000000002</v>
      </c>
      <c r="G44" s="9">
        <v>3.2530999999999999</v>
      </c>
      <c r="H44" s="9">
        <v>5.2720000000000002</v>
      </c>
      <c r="I44" s="9">
        <v>0.72719999999999996</v>
      </c>
      <c r="J44" s="9">
        <v>28.897400000000001</v>
      </c>
      <c r="K44" s="9">
        <v>16.1173</v>
      </c>
      <c r="L44" s="9">
        <v>41.677599999999998</v>
      </c>
      <c r="M44" s="9">
        <v>9.2062000000000008</v>
      </c>
      <c r="N44" s="9">
        <v>5.3036000000000003</v>
      </c>
      <c r="O44" s="9">
        <v>4.0861000000000001</v>
      </c>
      <c r="P44" s="9">
        <v>6.5210999999999997</v>
      </c>
      <c r="Q44" s="9">
        <v>0.877</v>
      </c>
      <c r="R44" s="9">
        <v>16.436699999999998</v>
      </c>
      <c r="S44" s="9">
        <v>10.502800000000001</v>
      </c>
      <c r="T44" s="9">
        <v>22.370699999999999</v>
      </c>
      <c r="U44" s="9">
        <v>4.2744999999999997</v>
      </c>
      <c r="V44" s="9">
        <v>2.3199999999999998E-2</v>
      </c>
      <c r="W44" s="9">
        <v>-0.1807</v>
      </c>
      <c r="X44" s="9">
        <v>0.22700000000000001</v>
      </c>
      <c r="Y44" s="9">
        <v>0.1469</v>
      </c>
      <c r="Z44" s="9"/>
      <c r="AA44" s="9"/>
      <c r="AB44" s="9"/>
      <c r="AC44" s="9"/>
      <c r="AD44" s="8"/>
      <c r="AE44" s="8"/>
      <c r="AF44" s="8"/>
      <c r="AG44" s="8"/>
    </row>
    <row r="45" spans="1:33" x14ac:dyDescent="0.25">
      <c r="A45" s="8" t="s">
        <v>82</v>
      </c>
      <c r="B45" s="8" t="s">
        <v>163</v>
      </c>
      <c r="C45" s="8" t="s">
        <v>124</v>
      </c>
      <c r="D45" s="8" t="s">
        <v>130</v>
      </c>
      <c r="E45" s="8">
        <v>5</v>
      </c>
      <c r="F45" s="9">
        <v>7.1271000000000004</v>
      </c>
      <c r="G45" s="9">
        <v>5.9753999999999996</v>
      </c>
      <c r="H45" s="9">
        <v>8.2788000000000004</v>
      </c>
      <c r="I45" s="9">
        <v>0.8296</v>
      </c>
      <c r="J45" s="9">
        <v>79.818399999999997</v>
      </c>
      <c r="K45" s="9">
        <v>56.536999999999999</v>
      </c>
      <c r="L45" s="9">
        <v>103.0997</v>
      </c>
      <c r="M45" s="9">
        <v>16.770600000000002</v>
      </c>
      <c r="N45" s="9">
        <v>8.8850999999999996</v>
      </c>
      <c r="O45" s="9">
        <v>7.5883000000000003</v>
      </c>
      <c r="P45" s="9">
        <v>10.182</v>
      </c>
      <c r="Q45" s="9">
        <v>0.93420000000000003</v>
      </c>
      <c r="R45" s="9">
        <v>9.7512000000000008</v>
      </c>
      <c r="S45" s="9">
        <v>7.9173</v>
      </c>
      <c r="T45" s="9">
        <v>11.5852</v>
      </c>
      <c r="U45" s="9">
        <v>1.3210999999999999</v>
      </c>
      <c r="V45" s="9">
        <v>6.9900000000000004E-2</v>
      </c>
      <c r="W45" s="9">
        <v>-2.1299999999999999E-2</v>
      </c>
      <c r="X45" s="9">
        <v>0.16109999999999999</v>
      </c>
      <c r="Y45" s="9">
        <v>6.5699999999999995E-2</v>
      </c>
      <c r="Z45" s="9"/>
      <c r="AA45" s="9"/>
      <c r="AB45" s="9"/>
      <c r="AC45" s="9"/>
      <c r="AD45" s="8"/>
      <c r="AE45" s="8"/>
      <c r="AF45" s="8"/>
      <c r="AG45" s="8"/>
    </row>
    <row r="46" spans="1:33" x14ac:dyDescent="0.25">
      <c r="A46" s="8" t="s">
        <v>82</v>
      </c>
      <c r="B46" s="8" t="s">
        <v>163</v>
      </c>
      <c r="C46" s="8" t="s">
        <v>124</v>
      </c>
      <c r="D46" s="8" t="s">
        <v>127</v>
      </c>
      <c r="E46" s="8">
        <v>5</v>
      </c>
      <c r="F46" s="9">
        <v>11.7911</v>
      </c>
      <c r="G46" s="9">
        <v>10.077199999999999</v>
      </c>
      <c r="H46" s="9">
        <v>13.505000000000001</v>
      </c>
      <c r="I46" s="9">
        <v>1.2345999999999999</v>
      </c>
      <c r="J46" s="9">
        <v>247.1318</v>
      </c>
      <c r="K46" s="9">
        <v>167.95410000000001</v>
      </c>
      <c r="L46" s="9">
        <v>326.30939999999998</v>
      </c>
      <c r="M46" s="9">
        <v>57.035200000000003</v>
      </c>
      <c r="N46" s="9">
        <v>15.615500000000001</v>
      </c>
      <c r="O46" s="9">
        <v>13.0989</v>
      </c>
      <c r="P46" s="9">
        <v>18.132200000000001</v>
      </c>
      <c r="Q46" s="9">
        <v>1.8129</v>
      </c>
      <c r="R46" s="9">
        <v>11.8065</v>
      </c>
      <c r="S46" s="9">
        <v>10.241400000000001</v>
      </c>
      <c r="T46" s="9">
        <v>13.371600000000001</v>
      </c>
      <c r="U46" s="9">
        <v>1.1274</v>
      </c>
      <c r="V46" s="9">
        <v>2.6499999999999999E-2</v>
      </c>
      <c r="W46" s="9">
        <v>-7.4899999999999994E-2</v>
      </c>
      <c r="X46" s="9">
        <v>0.1278</v>
      </c>
      <c r="Y46" s="9">
        <v>7.2999999999999995E-2</v>
      </c>
      <c r="Z46" s="9"/>
      <c r="AA46" s="9"/>
      <c r="AB46" s="9"/>
      <c r="AC46" s="9"/>
      <c r="AD46" s="8"/>
      <c r="AE46" s="8"/>
      <c r="AF46" s="8"/>
      <c r="AG46" s="8"/>
    </row>
    <row r="47" spans="1:33" x14ac:dyDescent="0.25">
      <c r="A47" s="8" t="s">
        <v>82</v>
      </c>
      <c r="B47" s="8" t="s">
        <v>163</v>
      </c>
      <c r="C47" s="8" t="s">
        <v>124</v>
      </c>
      <c r="D47" s="8" t="s">
        <v>126</v>
      </c>
      <c r="E47" s="8">
        <v>5</v>
      </c>
      <c r="F47" s="9">
        <v>11.3626</v>
      </c>
      <c r="G47" s="9">
        <v>9.9085999999999999</v>
      </c>
      <c r="H47" s="9">
        <v>12.816599999999999</v>
      </c>
      <c r="I47" s="9">
        <v>1.0474000000000001</v>
      </c>
      <c r="J47" s="9">
        <v>194.5915</v>
      </c>
      <c r="K47" s="9">
        <v>152.97730000000001</v>
      </c>
      <c r="L47" s="9">
        <v>236.20570000000001</v>
      </c>
      <c r="M47" s="9">
        <v>29.976600000000001</v>
      </c>
      <c r="N47" s="9">
        <v>13.9049</v>
      </c>
      <c r="O47" s="9">
        <v>12.356299999999999</v>
      </c>
      <c r="P47" s="9">
        <v>15.4535</v>
      </c>
      <c r="Q47" s="9">
        <v>1.1154999999999999</v>
      </c>
      <c r="R47" s="9">
        <v>21.3079</v>
      </c>
      <c r="S47" s="9">
        <v>19.689699999999998</v>
      </c>
      <c r="T47" s="9">
        <v>22.925999999999998</v>
      </c>
      <c r="U47" s="9">
        <v>1.1657</v>
      </c>
      <c r="V47" s="9">
        <v>3.3300000000000003E-2</v>
      </c>
      <c r="W47" s="9">
        <v>-3.85E-2</v>
      </c>
      <c r="X47" s="9">
        <v>0.1051</v>
      </c>
      <c r="Y47" s="9">
        <v>5.1700000000000003E-2</v>
      </c>
      <c r="Z47" s="9"/>
      <c r="AA47" s="9"/>
      <c r="AB47" s="9"/>
      <c r="AC47" s="9"/>
      <c r="AD47" s="8"/>
      <c r="AE47" s="8"/>
      <c r="AF47" s="8"/>
      <c r="AG47" s="8"/>
    </row>
    <row r="48" spans="1:33" x14ac:dyDescent="0.25">
      <c r="A48" s="8" t="s">
        <v>82</v>
      </c>
      <c r="B48" s="8" t="s">
        <v>163</v>
      </c>
      <c r="C48" s="8" t="s">
        <v>124</v>
      </c>
      <c r="D48" s="8" t="s">
        <v>128</v>
      </c>
      <c r="E48" s="8">
        <v>5</v>
      </c>
      <c r="F48" s="9">
        <v>0.43830000000000002</v>
      </c>
      <c r="G48" s="9">
        <v>0.3589</v>
      </c>
      <c r="H48" s="9">
        <v>0.51780000000000004</v>
      </c>
      <c r="I48" s="9">
        <v>5.7200000000000001E-2</v>
      </c>
      <c r="J48" s="9">
        <v>0.29780000000000001</v>
      </c>
      <c r="K48" s="9">
        <v>0.18720000000000001</v>
      </c>
      <c r="L48" s="9">
        <v>0.40849999999999997</v>
      </c>
      <c r="M48" s="9">
        <v>7.9699999999999993E-2</v>
      </c>
      <c r="N48" s="9">
        <v>0.54049999999999998</v>
      </c>
      <c r="O48" s="9">
        <v>0.436</v>
      </c>
      <c r="P48" s="9">
        <v>0.64510000000000001</v>
      </c>
      <c r="Q48" s="9">
        <v>7.5300000000000006E-2</v>
      </c>
      <c r="R48" s="9">
        <v>7.4179000000000004</v>
      </c>
      <c r="S48" s="9">
        <v>6.1874000000000002</v>
      </c>
      <c r="T48" s="9">
        <v>8.6484000000000005</v>
      </c>
      <c r="U48" s="9">
        <v>0.88639999999999997</v>
      </c>
      <c r="V48" s="9">
        <v>-4.53E-2</v>
      </c>
      <c r="W48" s="9">
        <v>-0.27800000000000002</v>
      </c>
      <c r="X48" s="9">
        <v>0.18729999999999999</v>
      </c>
      <c r="Y48" s="9">
        <v>0.1676</v>
      </c>
      <c r="Z48" s="9"/>
      <c r="AA48" s="9"/>
      <c r="AB48" s="9"/>
      <c r="AC48" s="9"/>
      <c r="AD48" s="8"/>
      <c r="AE48" s="8"/>
      <c r="AF48" s="8"/>
      <c r="AG48" s="8"/>
    </row>
    <row r="49" spans="1:33" x14ac:dyDescent="0.25">
      <c r="A49" s="8" t="s">
        <v>82</v>
      </c>
      <c r="B49" s="8" t="s">
        <v>163</v>
      </c>
      <c r="C49" s="8" t="s">
        <v>124</v>
      </c>
      <c r="D49" s="8" t="s">
        <v>129</v>
      </c>
      <c r="E49" s="8">
        <v>5</v>
      </c>
      <c r="F49" s="9">
        <v>14.2011</v>
      </c>
      <c r="G49" s="9">
        <v>12.5929</v>
      </c>
      <c r="H49" s="9">
        <v>15.8093</v>
      </c>
      <c r="I49" s="9">
        <v>1.1585000000000001</v>
      </c>
      <c r="J49" s="9">
        <v>322.95209999999997</v>
      </c>
      <c r="K49" s="9">
        <v>246.32429999999999</v>
      </c>
      <c r="L49" s="9">
        <v>399.57990000000001</v>
      </c>
      <c r="M49" s="9">
        <v>55.198500000000003</v>
      </c>
      <c r="N49" s="9">
        <v>17.908899999999999</v>
      </c>
      <c r="O49" s="9">
        <v>15.8392</v>
      </c>
      <c r="P49" s="9">
        <v>19.9786</v>
      </c>
      <c r="Q49" s="9">
        <v>1.4908999999999999</v>
      </c>
      <c r="R49" s="9">
        <v>10.4855</v>
      </c>
      <c r="S49" s="9">
        <v>8.8024000000000004</v>
      </c>
      <c r="T49" s="9">
        <v>12.1686</v>
      </c>
      <c r="U49" s="9">
        <v>1.2123999999999999</v>
      </c>
      <c r="V49" s="9">
        <v>2.53E-2</v>
      </c>
      <c r="W49" s="9">
        <v>-7.5200000000000003E-2</v>
      </c>
      <c r="X49" s="9">
        <v>0.1258</v>
      </c>
      <c r="Y49" s="9">
        <v>7.2400000000000006E-2</v>
      </c>
      <c r="Z49" s="9"/>
      <c r="AA49" s="9"/>
      <c r="AB49" s="9"/>
      <c r="AC49" s="9"/>
      <c r="AD49" s="8"/>
      <c r="AE49" s="8"/>
      <c r="AF49" s="8"/>
      <c r="AG49" s="8"/>
    </row>
    <row r="50" spans="1:33" x14ac:dyDescent="0.25">
      <c r="A50" s="8" t="s">
        <v>82</v>
      </c>
      <c r="B50" s="8" t="s">
        <v>163</v>
      </c>
      <c r="C50" s="8" t="s">
        <v>124</v>
      </c>
      <c r="D50" s="8" t="s">
        <v>125</v>
      </c>
      <c r="E50" s="8">
        <v>5</v>
      </c>
      <c r="F50" s="9">
        <v>32.571399999999997</v>
      </c>
      <c r="G50" s="9">
        <v>28.721399999999999</v>
      </c>
      <c r="H50" s="9">
        <v>36.421500000000002</v>
      </c>
      <c r="I50" s="9">
        <v>2.7734000000000001</v>
      </c>
      <c r="J50" s="9">
        <v>1646.3391999999999</v>
      </c>
      <c r="K50" s="9">
        <v>1222.9333999999999</v>
      </c>
      <c r="L50" s="9">
        <v>2069.7451000000001</v>
      </c>
      <c r="M50" s="9">
        <v>304.99860000000001</v>
      </c>
      <c r="N50" s="9">
        <v>40.392499999999998</v>
      </c>
      <c r="O50" s="9">
        <v>35.054499999999997</v>
      </c>
      <c r="P50" s="9">
        <v>45.730499999999999</v>
      </c>
      <c r="Q50" s="9">
        <v>3.8452000000000002</v>
      </c>
      <c r="R50" s="9">
        <v>17.657</v>
      </c>
      <c r="S50" s="9">
        <v>15.8207</v>
      </c>
      <c r="T50" s="9">
        <v>19.493300000000001</v>
      </c>
      <c r="U50" s="9">
        <v>1.3228</v>
      </c>
      <c r="V50" s="9">
        <v>7.1000000000000004E-3</v>
      </c>
      <c r="W50" s="9">
        <v>-0.26960000000000001</v>
      </c>
      <c r="X50" s="9">
        <v>0.2838</v>
      </c>
      <c r="Y50" s="9">
        <v>0.1993</v>
      </c>
      <c r="Z50" s="9"/>
      <c r="AA50" s="9"/>
      <c r="AB50" s="9"/>
      <c r="AC50" s="9"/>
      <c r="AD50" s="8"/>
      <c r="AE50" s="8"/>
      <c r="AF50" s="8"/>
      <c r="AG50" s="8"/>
    </row>
    <row r="51" spans="1:33" x14ac:dyDescent="0.25">
      <c r="A51" s="8" t="s">
        <v>82</v>
      </c>
      <c r="B51" s="8" t="s">
        <v>163</v>
      </c>
      <c r="C51" s="8" t="s">
        <v>253</v>
      </c>
      <c r="D51" s="8" t="s">
        <v>88</v>
      </c>
      <c r="E51" s="8">
        <v>5</v>
      </c>
      <c r="F51" s="9">
        <v>6.1280999999999999</v>
      </c>
      <c r="G51" s="9">
        <v>4.8025000000000002</v>
      </c>
      <c r="H51" s="9">
        <v>7.4537000000000004</v>
      </c>
      <c r="I51" s="9">
        <v>0.95489999999999997</v>
      </c>
      <c r="J51" s="9">
        <v>58.593299999999999</v>
      </c>
      <c r="K51" s="9">
        <v>37.360100000000003</v>
      </c>
      <c r="L51" s="9">
        <v>79.826599999999999</v>
      </c>
      <c r="M51" s="9">
        <v>15.295299999999999</v>
      </c>
      <c r="N51" s="9">
        <v>7.5879000000000003</v>
      </c>
      <c r="O51" s="9">
        <v>6.1882999999999999</v>
      </c>
      <c r="P51" s="9">
        <v>8.9876000000000005</v>
      </c>
      <c r="Q51" s="9">
        <v>1.0082</v>
      </c>
      <c r="R51" s="9">
        <v>22.6553</v>
      </c>
      <c r="S51" s="9">
        <v>15.422700000000001</v>
      </c>
      <c r="T51" s="9">
        <v>29.887899999999998</v>
      </c>
      <c r="U51" s="9">
        <v>5.2099000000000002</v>
      </c>
      <c r="V51" s="9">
        <v>-1.0142</v>
      </c>
      <c r="W51" s="9">
        <v>-1.3583000000000001</v>
      </c>
      <c r="X51" s="9">
        <v>-0.67020000000000002</v>
      </c>
      <c r="Y51" s="9">
        <v>0.24779999999999999</v>
      </c>
      <c r="Z51" s="9"/>
      <c r="AA51" s="9"/>
      <c r="AB51" s="9"/>
      <c r="AC51" s="9"/>
      <c r="AD51" s="8"/>
      <c r="AE51" s="8"/>
      <c r="AF51" s="8"/>
      <c r="AG51" s="8"/>
    </row>
    <row r="52" spans="1:33" x14ac:dyDescent="0.25">
      <c r="A52" s="8" t="s">
        <v>82</v>
      </c>
      <c r="B52" s="8" t="s">
        <v>163</v>
      </c>
      <c r="C52" s="8" t="s">
        <v>253</v>
      </c>
      <c r="D52" s="8" t="s">
        <v>130</v>
      </c>
      <c r="E52" s="8">
        <v>5</v>
      </c>
      <c r="F52" s="9">
        <v>10.062200000000001</v>
      </c>
      <c r="G52" s="9">
        <v>8.5935000000000006</v>
      </c>
      <c r="H52" s="9">
        <v>11.531000000000001</v>
      </c>
      <c r="I52" s="9">
        <v>1.0580000000000001</v>
      </c>
      <c r="J52" s="9">
        <v>163.59729999999999</v>
      </c>
      <c r="K52" s="9">
        <v>118.4087</v>
      </c>
      <c r="L52" s="9">
        <v>208.786</v>
      </c>
      <c r="M52" s="9">
        <v>32.551400000000001</v>
      </c>
      <c r="N52" s="9">
        <v>12.7248</v>
      </c>
      <c r="O52" s="9">
        <v>10.926500000000001</v>
      </c>
      <c r="P52" s="9">
        <v>14.523</v>
      </c>
      <c r="Q52" s="9">
        <v>1.2954000000000001</v>
      </c>
      <c r="R52" s="9">
        <v>13.732100000000001</v>
      </c>
      <c r="S52" s="9">
        <v>11.8002</v>
      </c>
      <c r="T52" s="9">
        <v>15.6639</v>
      </c>
      <c r="U52" s="9">
        <v>1.3915999999999999</v>
      </c>
      <c r="V52" s="9">
        <v>-0.91059999999999997</v>
      </c>
      <c r="W52" s="9">
        <v>-1.1427</v>
      </c>
      <c r="X52" s="9">
        <v>-0.67849999999999999</v>
      </c>
      <c r="Y52" s="9">
        <v>0.16719999999999999</v>
      </c>
      <c r="Z52" s="9"/>
      <c r="AA52" s="9"/>
      <c r="AB52" s="9"/>
      <c r="AC52" s="9"/>
      <c r="AD52" s="8"/>
      <c r="AE52" s="8"/>
      <c r="AF52" s="8"/>
      <c r="AG52" s="8"/>
    </row>
    <row r="53" spans="1:33" x14ac:dyDescent="0.25">
      <c r="A53" s="8" t="s">
        <v>82</v>
      </c>
      <c r="B53" s="8" t="s">
        <v>163</v>
      </c>
      <c r="C53" s="8" t="s">
        <v>253</v>
      </c>
      <c r="D53" s="8" t="s">
        <v>127</v>
      </c>
      <c r="E53" s="8">
        <v>5</v>
      </c>
      <c r="F53" s="9">
        <v>16.037099999999999</v>
      </c>
      <c r="G53" s="9">
        <v>14.311400000000001</v>
      </c>
      <c r="H53" s="9">
        <v>17.762699999999999</v>
      </c>
      <c r="I53" s="9">
        <v>1.2431000000000001</v>
      </c>
      <c r="J53" s="9">
        <v>452.68950000000001</v>
      </c>
      <c r="K53" s="9">
        <v>358.73219999999998</v>
      </c>
      <c r="L53" s="9">
        <v>546.64679999999998</v>
      </c>
      <c r="M53" s="9">
        <v>67.681700000000006</v>
      </c>
      <c r="N53" s="9">
        <v>21.219200000000001</v>
      </c>
      <c r="O53" s="9">
        <v>19.052600000000002</v>
      </c>
      <c r="P53" s="9">
        <v>23.3858</v>
      </c>
      <c r="Q53" s="9">
        <v>1.5607</v>
      </c>
      <c r="R53" s="9">
        <v>16.242899999999999</v>
      </c>
      <c r="S53" s="9">
        <v>14.1105</v>
      </c>
      <c r="T53" s="9">
        <v>18.375299999999999</v>
      </c>
      <c r="U53" s="9">
        <v>1.5361</v>
      </c>
      <c r="V53" s="9">
        <v>-0.83689999999999998</v>
      </c>
      <c r="W53" s="9">
        <v>-1.2834000000000001</v>
      </c>
      <c r="X53" s="9">
        <v>-0.39029999999999998</v>
      </c>
      <c r="Y53" s="9">
        <v>0.32169999999999999</v>
      </c>
      <c r="Z53" s="9"/>
      <c r="AA53" s="9"/>
      <c r="AB53" s="9"/>
      <c r="AC53" s="9"/>
      <c r="AD53" s="8"/>
      <c r="AE53" s="8"/>
      <c r="AF53" s="8"/>
      <c r="AG53" s="8"/>
    </row>
    <row r="54" spans="1:33" x14ac:dyDescent="0.25">
      <c r="A54" s="8" t="s">
        <v>82</v>
      </c>
      <c r="B54" s="8" t="s">
        <v>163</v>
      </c>
      <c r="C54" s="8" t="s">
        <v>253</v>
      </c>
      <c r="D54" s="8" t="s">
        <v>126</v>
      </c>
      <c r="E54" s="8">
        <v>5</v>
      </c>
      <c r="F54" s="9">
        <v>16.0487</v>
      </c>
      <c r="G54" s="9">
        <v>14.2722</v>
      </c>
      <c r="H54" s="9">
        <v>17.825299999999999</v>
      </c>
      <c r="I54" s="9">
        <v>1.2797000000000001</v>
      </c>
      <c r="J54" s="9">
        <v>399.15469999999999</v>
      </c>
      <c r="K54" s="9">
        <v>327.39249999999998</v>
      </c>
      <c r="L54" s="9">
        <v>470.9169</v>
      </c>
      <c r="M54" s="9">
        <v>51.693600000000004</v>
      </c>
      <c r="N54" s="9">
        <v>19.933399999999999</v>
      </c>
      <c r="O54" s="9">
        <v>18.062999999999999</v>
      </c>
      <c r="P54" s="9">
        <v>21.803799999999999</v>
      </c>
      <c r="Q54" s="9">
        <v>1.3473999999999999</v>
      </c>
      <c r="R54" s="9">
        <v>30.415199999999999</v>
      </c>
      <c r="S54" s="9">
        <v>26.949300000000001</v>
      </c>
      <c r="T54" s="9">
        <v>33.881100000000004</v>
      </c>
      <c r="U54" s="9">
        <v>2.4965999999999999</v>
      </c>
      <c r="V54" s="9">
        <v>-0.99070000000000003</v>
      </c>
      <c r="W54" s="9">
        <v>-1.1447000000000001</v>
      </c>
      <c r="X54" s="9">
        <v>-0.8367</v>
      </c>
      <c r="Y54" s="9">
        <v>0.1109</v>
      </c>
      <c r="Z54" s="9"/>
      <c r="AA54" s="9"/>
      <c r="AB54" s="9"/>
      <c r="AC54" s="9"/>
      <c r="AD54" s="8"/>
      <c r="AE54" s="8"/>
      <c r="AF54" s="8"/>
      <c r="AG54" s="8"/>
    </row>
    <row r="55" spans="1:33" x14ac:dyDescent="0.25">
      <c r="A55" s="8" t="s">
        <v>82</v>
      </c>
      <c r="B55" s="8" t="s">
        <v>163</v>
      </c>
      <c r="C55" s="8" t="s">
        <v>253</v>
      </c>
      <c r="D55" s="8" t="s">
        <v>128</v>
      </c>
      <c r="E55" s="8">
        <v>5</v>
      </c>
      <c r="F55" s="9">
        <v>0.55179999999999996</v>
      </c>
      <c r="G55" s="9">
        <v>0.43230000000000002</v>
      </c>
      <c r="H55" s="9">
        <v>0.6714</v>
      </c>
      <c r="I55" s="9">
        <v>8.6099999999999996E-2</v>
      </c>
      <c r="J55" s="9">
        <v>0.46289999999999998</v>
      </c>
      <c r="K55" s="9">
        <v>0.29870000000000002</v>
      </c>
      <c r="L55" s="9">
        <v>0.62719999999999998</v>
      </c>
      <c r="M55" s="9">
        <v>0.1183</v>
      </c>
      <c r="N55" s="9">
        <v>0.67379999999999995</v>
      </c>
      <c r="O55" s="9">
        <v>0.54239999999999999</v>
      </c>
      <c r="P55" s="9">
        <v>0.80520000000000003</v>
      </c>
      <c r="Q55" s="9">
        <v>9.4600000000000004E-2</v>
      </c>
      <c r="R55" s="9">
        <v>9.5164000000000009</v>
      </c>
      <c r="S55" s="9">
        <v>7.6077000000000004</v>
      </c>
      <c r="T55" s="9">
        <v>11.4252</v>
      </c>
      <c r="U55" s="9">
        <v>1.375</v>
      </c>
      <c r="V55" s="9">
        <v>-0.63790000000000002</v>
      </c>
      <c r="W55" s="9">
        <v>-1.1196999999999999</v>
      </c>
      <c r="X55" s="9">
        <v>-0.156</v>
      </c>
      <c r="Y55" s="9">
        <v>0.34710000000000002</v>
      </c>
      <c r="Z55" s="9"/>
      <c r="AA55" s="9"/>
      <c r="AB55" s="9"/>
      <c r="AC55" s="9"/>
      <c r="AD55" s="8"/>
      <c r="AE55" s="8"/>
      <c r="AF55" s="8"/>
      <c r="AG55" s="8"/>
    </row>
    <row r="56" spans="1:33" x14ac:dyDescent="0.25">
      <c r="A56" s="8" t="s">
        <v>82</v>
      </c>
      <c r="B56" s="8" t="s">
        <v>163</v>
      </c>
      <c r="C56" s="8" t="s">
        <v>253</v>
      </c>
      <c r="D56" s="8" t="s">
        <v>129</v>
      </c>
      <c r="E56" s="8">
        <v>5</v>
      </c>
      <c r="F56" s="9">
        <v>19.374600000000001</v>
      </c>
      <c r="G56" s="9">
        <v>18.063400000000001</v>
      </c>
      <c r="H56" s="9">
        <v>20.6859</v>
      </c>
      <c r="I56" s="9">
        <v>0.94450000000000001</v>
      </c>
      <c r="J56" s="9">
        <v>622.21860000000004</v>
      </c>
      <c r="K56" s="9">
        <v>559.60410000000002</v>
      </c>
      <c r="L56" s="9">
        <v>684.83299999999997</v>
      </c>
      <c r="M56" s="9">
        <v>45.104100000000003</v>
      </c>
      <c r="N56" s="9">
        <v>24.928100000000001</v>
      </c>
      <c r="O56" s="9">
        <v>23.680299999999999</v>
      </c>
      <c r="P56" s="9">
        <v>26.175899999999999</v>
      </c>
      <c r="Q56" s="9">
        <v>0.89880000000000004</v>
      </c>
      <c r="R56" s="9">
        <v>14.6897</v>
      </c>
      <c r="S56" s="9">
        <v>12.9513</v>
      </c>
      <c r="T56" s="9">
        <v>16.4282</v>
      </c>
      <c r="U56" s="9">
        <v>1.2523</v>
      </c>
      <c r="V56" s="9">
        <v>-0.91220000000000001</v>
      </c>
      <c r="W56" s="9">
        <v>-1.2682</v>
      </c>
      <c r="X56" s="9">
        <v>-0.55620000000000003</v>
      </c>
      <c r="Y56" s="9">
        <v>0.25640000000000002</v>
      </c>
      <c r="Z56" s="9"/>
      <c r="AA56" s="9"/>
      <c r="AB56" s="9"/>
      <c r="AC56" s="9"/>
      <c r="AD56" s="8"/>
      <c r="AE56" s="8"/>
      <c r="AF56" s="8"/>
      <c r="AG56" s="8"/>
    </row>
    <row r="57" spans="1:33" x14ac:dyDescent="0.25">
      <c r="A57" s="8" t="s">
        <v>82</v>
      </c>
      <c r="B57" s="8" t="s">
        <v>163</v>
      </c>
      <c r="C57" s="8" t="s">
        <v>253</v>
      </c>
      <c r="D57" s="8" t="s">
        <v>125</v>
      </c>
      <c r="E57" s="8">
        <v>5</v>
      </c>
      <c r="F57" s="9">
        <v>41.695799999999998</v>
      </c>
      <c r="G57" s="9">
        <v>35.183</v>
      </c>
      <c r="H57" s="9">
        <v>48.2087</v>
      </c>
      <c r="I57" s="9">
        <v>4.6914999999999996</v>
      </c>
      <c r="J57" s="9">
        <v>2661.3995</v>
      </c>
      <c r="K57" s="9">
        <v>1699.3489</v>
      </c>
      <c r="L57" s="9">
        <v>3623.4502000000002</v>
      </c>
      <c r="M57" s="9">
        <v>693.00890000000004</v>
      </c>
      <c r="N57" s="9">
        <v>51.159599999999998</v>
      </c>
      <c r="O57" s="9">
        <v>41.941899999999997</v>
      </c>
      <c r="P57" s="9">
        <v>60.377400000000002</v>
      </c>
      <c r="Q57" s="9">
        <v>6.64</v>
      </c>
      <c r="R57" s="9">
        <v>22.942699999999999</v>
      </c>
      <c r="S57" s="9">
        <v>20.1311</v>
      </c>
      <c r="T57" s="9">
        <v>25.7544</v>
      </c>
      <c r="U57" s="9">
        <v>2.0253999999999999</v>
      </c>
      <c r="V57" s="9">
        <v>-0.61750000000000005</v>
      </c>
      <c r="W57" s="9">
        <v>-1.2669999999999999</v>
      </c>
      <c r="X57" s="9">
        <v>3.2000000000000001E-2</v>
      </c>
      <c r="Y57" s="9">
        <v>0.46779999999999999</v>
      </c>
      <c r="Z57" s="9"/>
      <c r="AA57" s="9"/>
      <c r="AB57" s="9"/>
      <c r="AC57" s="9"/>
      <c r="AD57" s="8"/>
      <c r="AE57" s="8"/>
      <c r="AF57" s="8"/>
      <c r="AG57" s="8"/>
    </row>
    <row r="58" spans="1:33" x14ac:dyDescent="0.25">
      <c r="A58" s="8" t="s">
        <v>82</v>
      </c>
      <c r="B58" s="8" t="s">
        <v>163</v>
      </c>
      <c r="C58" s="8" t="s">
        <v>254</v>
      </c>
      <c r="D58" s="8" t="s">
        <v>88</v>
      </c>
      <c r="E58" s="8">
        <v>5</v>
      </c>
      <c r="F58" s="9">
        <v>5.1580000000000004</v>
      </c>
      <c r="G58" s="9">
        <v>4.2826000000000004</v>
      </c>
      <c r="H58" s="9">
        <v>6.0332999999999997</v>
      </c>
      <c r="I58" s="9">
        <v>0.63049999999999995</v>
      </c>
      <c r="J58" s="9">
        <v>41.102600000000002</v>
      </c>
      <c r="K58" s="9">
        <v>32.071899999999999</v>
      </c>
      <c r="L58" s="9">
        <v>50.133400000000002</v>
      </c>
      <c r="M58" s="9">
        <v>6.5053000000000001</v>
      </c>
      <c r="N58" s="9">
        <v>6.39</v>
      </c>
      <c r="O58" s="9">
        <v>5.6676000000000002</v>
      </c>
      <c r="P58" s="9">
        <v>7.1123000000000003</v>
      </c>
      <c r="Q58" s="9">
        <v>0.52029999999999998</v>
      </c>
      <c r="R58" s="9">
        <v>19.406099999999999</v>
      </c>
      <c r="S58" s="9">
        <v>13.4299</v>
      </c>
      <c r="T58" s="9">
        <v>25.382300000000001</v>
      </c>
      <c r="U58" s="9">
        <v>4.3049999999999997</v>
      </c>
      <c r="V58" s="9">
        <v>-0.43419999999999997</v>
      </c>
      <c r="W58" s="9">
        <v>-0.54410000000000003</v>
      </c>
      <c r="X58" s="9">
        <v>-0.32429999999999998</v>
      </c>
      <c r="Y58" s="9">
        <v>7.9200000000000007E-2</v>
      </c>
      <c r="Z58" s="9"/>
      <c r="AA58" s="9"/>
      <c r="AB58" s="9"/>
      <c r="AC58" s="9"/>
      <c r="AD58" s="8"/>
      <c r="AE58" s="8"/>
      <c r="AF58" s="8"/>
      <c r="AG58" s="8"/>
    </row>
    <row r="59" spans="1:33" x14ac:dyDescent="0.25">
      <c r="A59" s="8" t="s">
        <v>82</v>
      </c>
      <c r="B59" s="8" t="s">
        <v>163</v>
      </c>
      <c r="C59" s="8" t="s">
        <v>254</v>
      </c>
      <c r="D59" s="8" t="s">
        <v>130</v>
      </c>
      <c r="E59" s="8">
        <v>5</v>
      </c>
      <c r="F59" s="9">
        <v>7.6116999999999999</v>
      </c>
      <c r="G59" s="9">
        <v>6.6211000000000002</v>
      </c>
      <c r="H59" s="9">
        <v>8.6021999999999998</v>
      </c>
      <c r="I59" s="9">
        <v>0.71350000000000002</v>
      </c>
      <c r="J59" s="9">
        <v>95.175399999999996</v>
      </c>
      <c r="K59" s="9">
        <v>64.747699999999995</v>
      </c>
      <c r="L59" s="9">
        <v>125.6031</v>
      </c>
      <c r="M59" s="9">
        <v>21.918399999999998</v>
      </c>
      <c r="N59" s="9">
        <v>9.6941000000000006</v>
      </c>
      <c r="O59" s="9">
        <v>8.1731999999999996</v>
      </c>
      <c r="P59" s="9">
        <v>11.2149</v>
      </c>
      <c r="Q59" s="9">
        <v>1.0954999999999999</v>
      </c>
      <c r="R59" s="9">
        <v>10.4396</v>
      </c>
      <c r="S59" s="9">
        <v>8.8810000000000002</v>
      </c>
      <c r="T59" s="9">
        <v>11.9983</v>
      </c>
      <c r="U59" s="9">
        <v>1.1228</v>
      </c>
      <c r="V59" s="9">
        <v>-0.1055</v>
      </c>
      <c r="W59" s="9">
        <v>-0.20979999999999999</v>
      </c>
      <c r="X59" s="9">
        <v>-1.1999999999999999E-3</v>
      </c>
      <c r="Y59" s="9">
        <v>7.51E-2</v>
      </c>
      <c r="Z59" s="9"/>
      <c r="AA59" s="9"/>
      <c r="AB59" s="9"/>
      <c r="AC59" s="9"/>
      <c r="AD59" s="8"/>
      <c r="AE59" s="8"/>
      <c r="AF59" s="8"/>
      <c r="AG59" s="8"/>
    </row>
    <row r="60" spans="1:33" x14ac:dyDescent="0.25">
      <c r="A60" s="8" t="s">
        <v>82</v>
      </c>
      <c r="B60" s="8" t="s">
        <v>163</v>
      </c>
      <c r="C60" s="8" t="s">
        <v>254</v>
      </c>
      <c r="D60" s="8" t="s">
        <v>127</v>
      </c>
      <c r="E60" s="8">
        <v>5</v>
      </c>
      <c r="F60" s="9">
        <v>13.697100000000001</v>
      </c>
      <c r="G60" s="9">
        <v>11.9358</v>
      </c>
      <c r="H60" s="9">
        <v>15.458399999999999</v>
      </c>
      <c r="I60" s="9">
        <v>1.2686999999999999</v>
      </c>
      <c r="J60" s="9">
        <v>314.15499999999997</v>
      </c>
      <c r="K60" s="9">
        <v>227.66370000000001</v>
      </c>
      <c r="L60" s="9">
        <v>400.6463</v>
      </c>
      <c r="M60" s="9">
        <v>62.303600000000003</v>
      </c>
      <c r="N60" s="9">
        <v>17.630500000000001</v>
      </c>
      <c r="O60" s="9">
        <v>15.1007</v>
      </c>
      <c r="P60" s="9">
        <v>20.160299999999999</v>
      </c>
      <c r="Q60" s="9">
        <v>1.8224</v>
      </c>
      <c r="R60" s="9">
        <v>13.972799999999999</v>
      </c>
      <c r="S60" s="9">
        <v>12.317299999999999</v>
      </c>
      <c r="T60" s="9">
        <v>15.6282</v>
      </c>
      <c r="U60" s="9">
        <v>1.1924999999999999</v>
      </c>
      <c r="V60" s="9">
        <v>-0.24759999999999999</v>
      </c>
      <c r="W60" s="9">
        <v>-0.432</v>
      </c>
      <c r="X60" s="9">
        <v>-6.3200000000000006E-2</v>
      </c>
      <c r="Y60" s="9">
        <v>0.1328</v>
      </c>
      <c r="Z60" s="9"/>
      <c r="AA60" s="9"/>
      <c r="AB60" s="9"/>
      <c r="AC60" s="9"/>
      <c r="AD60" s="8"/>
      <c r="AE60" s="8"/>
      <c r="AF60" s="8"/>
      <c r="AG60" s="8"/>
    </row>
    <row r="61" spans="1:33" x14ac:dyDescent="0.25">
      <c r="A61" s="8" t="s">
        <v>82</v>
      </c>
      <c r="B61" s="8" t="s">
        <v>163</v>
      </c>
      <c r="C61" s="8" t="s">
        <v>254</v>
      </c>
      <c r="D61" s="8" t="s">
        <v>126</v>
      </c>
      <c r="E61" s="8">
        <v>5</v>
      </c>
      <c r="F61" s="9">
        <v>13.618600000000001</v>
      </c>
      <c r="G61" s="9">
        <v>11.707700000000001</v>
      </c>
      <c r="H61" s="9">
        <v>15.529400000000001</v>
      </c>
      <c r="I61" s="9">
        <v>1.3765000000000001</v>
      </c>
      <c r="J61" s="9">
        <v>289.8408</v>
      </c>
      <c r="K61" s="9">
        <v>218.8459</v>
      </c>
      <c r="L61" s="9">
        <v>360.83569999999997</v>
      </c>
      <c r="M61" s="9">
        <v>51.140799999999999</v>
      </c>
      <c r="N61" s="9">
        <v>16.948899999999998</v>
      </c>
      <c r="O61" s="9">
        <v>14.721</v>
      </c>
      <c r="P61" s="9">
        <v>19.1768</v>
      </c>
      <c r="Q61" s="9">
        <v>1.6049</v>
      </c>
      <c r="R61" s="9">
        <v>26.396899999999999</v>
      </c>
      <c r="S61" s="9">
        <v>22.628900000000002</v>
      </c>
      <c r="T61" s="9">
        <v>30.164899999999999</v>
      </c>
      <c r="U61" s="9">
        <v>2.7143000000000002</v>
      </c>
      <c r="V61" s="9">
        <v>-0.43680000000000002</v>
      </c>
      <c r="W61" s="9">
        <v>-0.63549999999999995</v>
      </c>
      <c r="X61" s="9">
        <v>-0.23810000000000001</v>
      </c>
      <c r="Y61" s="9">
        <v>0.1431</v>
      </c>
      <c r="Z61" s="9"/>
      <c r="AA61" s="9"/>
      <c r="AB61" s="9"/>
      <c r="AC61" s="9"/>
      <c r="AD61" s="8"/>
      <c r="AE61" s="8"/>
      <c r="AF61" s="8"/>
      <c r="AG61" s="8"/>
    </row>
    <row r="62" spans="1:33" x14ac:dyDescent="0.25">
      <c r="A62" s="8" t="s">
        <v>82</v>
      </c>
      <c r="B62" s="8" t="s">
        <v>163</v>
      </c>
      <c r="C62" s="8" t="s">
        <v>254</v>
      </c>
      <c r="D62" s="8" t="s">
        <v>128</v>
      </c>
      <c r="E62" s="8">
        <v>5</v>
      </c>
      <c r="F62" s="9">
        <v>0.46</v>
      </c>
      <c r="G62" s="9">
        <v>0.33360000000000001</v>
      </c>
      <c r="H62" s="9">
        <v>0.58640000000000003</v>
      </c>
      <c r="I62" s="9">
        <v>9.0999999999999998E-2</v>
      </c>
      <c r="J62" s="9">
        <v>0.34029999999999999</v>
      </c>
      <c r="K62" s="9">
        <v>0.18479999999999999</v>
      </c>
      <c r="L62" s="9">
        <v>0.49569999999999997</v>
      </c>
      <c r="M62" s="9">
        <v>0.112</v>
      </c>
      <c r="N62" s="9">
        <v>0.57420000000000004</v>
      </c>
      <c r="O62" s="9">
        <v>0.43190000000000001</v>
      </c>
      <c r="P62" s="9">
        <v>0.71660000000000001</v>
      </c>
      <c r="Q62" s="9">
        <v>0.10249999999999999</v>
      </c>
      <c r="R62" s="9">
        <v>7.9951999999999996</v>
      </c>
      <c r="S62" s="9">
        <v>5.7930999999999999</v>
      </c>
      <c r="T62" s="9">
        <v>10.1974</v>
      </c>
      <c r="U62" s="9">
        <v>1.5863</v>
      </c>
      <c r="V62" s="9">
        <v>-0.18429999999999999</v>
      </c>
      <c r="W62" s="9">
        <v>-0.57699999999999996</v>
      </c>
      <c r="X62" s="9">
        <v>0.20849999999999999</v>
      </c>
      <c r="Y62" s="9">
        <v>0.28289999999999998</v>
      </c>
      <c r="Z62" s="9"/>
      <c r="AA62" s="9"/>
      <c r="AB62" s="9"/>
      <c r="AC62" s="9"/>
      <c r="AD62" s="8"/>
      <c r="AE62" s="8"/>
      <c r="AF62" s="8"/>
      <c r="AG62" s="8"/>
    </row>
    <row r="63" spans="1:33" x14ac:dyDescent="0.25">
      <c r="A63" s="8" t="s">
        <v>82</v>
      </c>
      <c r="B63" s="8" t="s">
        <v>163</v>
      </c>
      <c r="C63" s="8" t="s">
        <v>254</v>
      </c>
      <c r="D63" s="8" t="s">
        <v>129</v>
      </c>
      <c r="E63" s="8">
        <v>5</v>
      </c>
      <c r="F63" s="9">
        <v>15.976699999999999</v>
      </c>
      <c r="G63" s="9">
        <v>13.3347</v>
      </c>
      <c r="H63" s="9">
        <v>18.6187</v>
      </c>
      <c r="I63" s="9">
        <v>1.9032</v>
      </c>
      <c r="J63" s="9">
        <v>442.52659999999997</v>
      </c>
      <c r="K63" s="9">
        <v>311.529</v>
      </c>
      <c r="L63" s="9">
        <v>573.52419999999995</v>
      </c>
      <c r="M63" s="9">
        <v>94.363500000000002</v>
      </c>
      <c r="N63" s="9">
        <v>20.909500000000001</v>
      </c>
      <c r="O63" s="9">
        <v>17.707899999999999</v>
      </c>
      <c r="P63" s="9">
        <v>24.1112</v>
      </c>
      <c r="Q63" s="9">
        <v>2.3062999999999998</v>
      </c>
      <c r="R63" s="9">
        <v>12.122999999999999</v>
      </c>
      <c r="S63" s="9">
        <v>9.5307999999999993</v>
      </c>
      <c r="T63" s="9">
        <v>14.7151</v>
      </c>
      <c r="U63" s="9">
        <v>1.8673</v>
      </c>
      <c r="V63" s="9">
        <v>-0.32329999999999998</v>
      </c>
      <c r="W63" s="9">
        <v>-0.4985</v>
      </c>
      <c r="X63" s="9">
        <v>-0.14810000000000001</v>
      </c>
      <c r="Y63" s="9">
        <v>0.12620000000000001</v>
      </c>
      <c r="Z63" s="9"/>
      <c r="AA63" s="9"/>
      <c r="AB63" s="9"/>
      <c r="AC63" s="9"/>
      <c r="AD63" s="8"/>
      <c r="AE63" s="8"/>
      <c r="AF63" s="8"/>
      <c r="AG63" s="8"/>
    </row>
    <row r="64" spans="1:33" x14ac:dyDescent="0.25">
      <c r="A64" s="8" t="s">
        <v>82</v>
      </c>
      <c r="B64" s="8" t="s">
        <v>163</v>
      </c>
      <c r="C64" s="8" t="s">
        <v>254</v>
      </c>
      <c r="D64" s="8" t="s">
        <v>125</v>
      </c>
      <c r="E64" s="8">
        <v>5</v>
      </c>
      <c r="F64" s="9">
        <v>37.193300000000001</v>
      </c>
      <c r="G64" s="9">
        <v>30.731100000000001</v>
      </c>
      <c r="H64" s="9">
        <v>43.655500000000004</v>
      </c>
      <c r="I64" s="9">
        <v>4.6550000000000002</v>
      </c>
      <c r="J64" s="9">
        <v>2194.3982000000001</v>
      </c>
      <c r="K64" s="9">
        <v>1467.4972</v>
      </c>
      <c r="L64" s="9">
        <v>2921.2993000000001</v>
      </c>
      <c r="M64" s="9">
        <v>523.61990000000003</v>
      </c>
      <c r="N64" s="9">
        <v>46.507100000000001</v>
      </c>
      <c r="O64" s="9">
        <v>38.717500000000001</v>
      </c>
      <c r="P64" s="9">
        <v>54.296799999999998</v>
      </c>
      <c r="Q64" s="9">
        <v>5.6113</v>
      </c>
      <c r="R64" s="9">
        <v>20.385000000000002</v>
      </c>
      <c r="S64" s="9">
        <v>17.555499999999999</v>
      </c>
      <c r="T64" s="9">
        <v>23.214500000000001</v>
      </c>
      <c r="U64" s="9">
        <v>2.0381999999999998</v>
      </c>
      <c r="V64" s="9">
        <v>-0.33450000000000002</v>
      </c>
      <c r="W64" s="9">
        <v>-0.87119999999999997</v>
      </c>
      <c r="X64" s="9">
        <v>0.2021</v>
      </c>
      <c r="Y64" s="9">
        <v>0.3866</v>
      </c>
      <c r="Z64" s="9"/>
      <c r="AA64" s="9"/>
      <c r="AB64" s="9"/>
      <c r="AC64" s="9"/>
      <c r="AD64" s="8"/>
      <c r="AE64" s="8"/>
      <c r="AF64" s="8"/>
      <c r="AG64" s="8"/>
    </row>
    <row r="65" spans="1:33" x14ac:dyDescent="0.25">
      <c r="A65" s="8" t="s">
        <v>83</v>
      </c>
      <c r="B65" s="8" t="s">
        <v>163</v>
      </c>
      <c r="C65" s="8" t="s">
        <v>164</v>
      </c>
      <c r="D65" s="8" t="s">
        <v>94</v>
      </c>
      <c r="E65" s="8">
        <v>5</v>
      </c>
      <c r="F65" s="9">
        <v>0.36809999999999998</v>
      </c>
      <c r="G65" s="9">
        <v>0.21759999999999999</v>
      </c>
      <c r="H65" s="9">
        <v>0.51849999999999996</v>
      </c>
      <c r="I65" s="9">
        <v>0.1084</v>
      </c>
      <c r="J65" s="9">
        <v>0.3795</v>
      </c>
      <c r="K65" s="9">
        <v>0.20610000000000001</v>
      </c>
      <c r="L65" s="9">
        <v>0.55289999999999995</v>
      </c>
      <c r="M65" s="9">
        <v>0.1249</v>
      </c>
      <c r="N65" s="9">
        <v>0.60740000000000005</v>
      </c>
      <c r="O65" s="9">
        <v>0.4652</v>
      </c>
      <c r="P65" s="9">
        <v>0.74970000000000003</v>
      </c>
      <c r="Q65" s="9">
        <v>0.10249999999999999</v>
      </c>
      <c r="R65" s="9">
        <v>98.888900000000007</v>
      </c>
      <c r="S65" s="9">
        <v>95.803899999999999</v>
      </c>
      <c r="T65" s="9">
        <v>101.9738</v>
      </c>
      <c r="U65" s="9">
        <v>2.2222</v>
      </c>
      <c r="V65" s="9">
        <v>-0.59340000000000004</v>
      </c>
      <c r="W65" s="9">
        <v>-0.91769999999999996</v>
      </c>
      <c r="X65" s="9">
        <v>-0.26910000000000001</v>
      </c>
      <c r="Y65" s="9">
        <v>0.2336</v>
      </c>
      <c r="Z65" s="9"/>
      <c r="AA65" s="9"/>
      <c r="AB65" s="9"/>
      <c r="AC65" s="9"/>
      <c r="AD65" s="8"/>
      <c r="AE65" s="8"/>
      <c r="AF65" s="8"/>
      <c r="AG65" s="8"/>
    </row>
    <row r="66" spans="1:33" x14ac:dyDescent="0.25">
      <c r="A66" s="8" t="s">
        <v>83</v>
      </c>
      <c r="B66" s="8" t="s">
        <v>163</v>
      </c>
      <c r="C66" s="8" t="s">
        <v>164</v>
      </c>
      <c r="D66" s="8" t="s">
        <v>93</v>
      </c>
      <c r="E66" s="8">
        <v>5</v>
      </c>
      <c r="F66" s="9">
        <v>3.5499999999999997E-2</v>
      </c>
      <c r="G66" s="9">
        <v>2.53E-2</v>
      </c>
      <c r="H66" s="9">
        <v>4.58E-2</v>
      </c>
      <c r="I66" s="9">
        <v>7.4000000000000003E-3</v>
      </c>
      <c r="J66" s="9">
        <v>5.4000000000000003E-3</v>
      </c>
      <c r="K66" s="9">
        <v>2.2000000000000001E-3</v>
      </c>
      <c r="L66" s="9">
        <v>8.5000000000000006E-3</v>
      </c>
      <c r="M66" s="9">
        <v>2.3E-3</v>
      </c>
      <c r="N66" s="9">
        <v>7.1599999999999997E-2</v>
      </c>
      <c r="O66" s="9">
        <v>5.0700000000000002E-2</v>
      </c>
      <c r="P66" s="9">
        <v>9.2399999999999996E-2</v>
      </c>
      <c r="Q66" s="9">
        <v>1.4999999999999999E-2</v>
      </c>
      <c r="R66" s="9">
        <v>90.708399999999997</v>
      </c>
      <c r="S66" s="9">
        <v>76.914000000000001</v>
      </c>
      <c r="T66" s="9">
        <v>104.5027</v>
      </c>
      <c r="U66" s="9">
        <v>9.9367000000000001</v>
      </c>
      <c r="V66" s="9">
        <v>-0.1673</v>
      </c>
      <c r="W66" s="9">
        <v>-0.45419999999999999</v>
      </c>
      <c r="X66" s="9">
        <v>0.1197</v>
      </c>
      <c r="Y66" s="9">
        <v>0.20669999999999999</v>
      </c>
      <c r="Z66" s="9"/>
      <c r="AA66" s="9"/>
      <c r="AB66" s="9"/>
      <c r="AC66" s="9"/>
      <c r="AD66" s="8"/>
      <c r="AE66" s="8"/>
      <c r="AF66" s="8"/>
      <c r="AG66" s="8"/>
    </row>
    <row r="67" spans="1:33" x14ac:dyDescent="0.25">
      <c r="A67" s="8" t="s">
        <v>83</v>
      </c>
      <c r="B67" s="8" t="s">
        <v>163</v>
      </c>
      <c r="C67" s="8" t="s">
        <v>164</v>
      </c>
      <c r="D67" s="8" t="s">
        <v>96</v>
      </c>
      <c r="E67" s="8">
        <v>5</v>
      </c>
      <c r="F67" s="9">
        <v>0.2954</v>
      </c>
      <c r="G67" s="9">
        <v>0.2117</v>
      </c>
      <c r="H67" s="9">
        <v>0.37909999999999999</v>
      </c>
      <c r="I67" s="9">
        <v>6.0299999999999999E-2</v>
      </c>
      <c r="J67" s="9">
        <v>0.125</v>
      </c>
      <c r="K67" s="9">
        <v>7.5200000000000003E-2</v>
      </c>
      <c r="L67" s="9">
        <v>0.17480000000000001</v>
      </c>
      <c r="M67" s="9">
        <v>3.5900000000000001E-2</v>
      </c>
      <c r="N67" s="9">
        <v>0.34960000000000002</v>
      </c>
      <c r="O67" s="9">
        <v>0.27600000000000002</v>
      </c>
      <c r="P67" s="9">
        <v>0.42309999999999998</v>
      </c>
      <c r="Q67" s="9">
        <v>5.2999999999999999E-2</v>
      </c>
      <c r="R67" s="9">
        <v>63.8688</v>
      </c>
      <c r="S67" s="9">
        <v>35.320500000000003</v>
      </c>
      <c r="T67" s="9">
        <v>92.417199999999994</v>
      </c>
      <c r="U67" s="9">
        <v>20.564699999999998</v>
      </c>
      <c r="V67" s="9">
        <v>-2.1661999999999999</v>
      </c>
      <c r="W67" s="9">
        <v>-3.4411</v>
      </c>
      <c r="X67" s="9">
        <v>-0.89119999999999999</v>
      </c>
      <c r="Y67" s="9">
        <v>0.91839999999999999</v>
      </c>
      <c r="Z67" s="9"/>
      <c r="AA67" s="9"/>
      <c r="AB67" s="9"/>
      <c r="AC67" s="9"/>
      <c r="AD67" s="8"/>
      <c r="AE67" s="8"/>
      <c r="AF67" s="8"/>
      <c r="AG67" s="8"/>
    </row>
    <row r="68" spans="1:33" x14ac:dyDescent="0.25">
      <c r="A68" s="8" t="s">
        <v>83</v>
      </c>
      <c r="B68" s="8" t="s">
        <v>163</v>
      </c>
      <c r="C68" s="8" t="s">
        <v>164</v>
      </c>
      <c r="D68" s="8" t="s">
        <v>98</v>
      </c>
      <c r="E68" s="8">
        <v>5</v>
      </c>
      <c r="F68" s="9">
        <v>0.27300000000000002</v>
      </c>
      <c r="G68" s="9">
        <v>8.6E-3</v>
      </c>
      <c r="H68" s="9">
        <v>0.53749999999999998</v>
      </c>
      <c r="I68" s="9">
        <v>0.1905</v>
      </c>
      <c r="J68" s="9">
        <v>0.38319999999999999</v>
      </c>
      <c r="K68" s="9">
        <v>-5.9200000000000003E-2</v>
      </c>
      <c r="L68" s="9">
        <v>0.8256</v>
      </c>
      <c r="M68" s="9">
        <v>0.31869999999999998</v>
      </c>
      <c r="N68" s="9">
        <v>0.55969999999999998</v>
      </c>
      <c r="O68" s="9">
        <v>0.19239999999999999</v>
      </c>
      <c r="P68" s="9">
        <v>0.92700000000000005</v>
      </c>
      <c r="Q68" s="9">
        <v>0.2646</v>
      </c>
      <c r="R68" s="9">
        <v>98.333299999999994</v>
      </c>
      <c r="S68" s="9">
        <v>93.706000000000003</v>
      </c>
      <c r="T68" s="9">
        <v>102.9607</v>
      </c>
      <c r="U68" s="9">
        <v>3.3332999999999999</v>
      </c>
      <c r="V68" s="9">
        <v>-0.49969999999999998</v>
      </c>
      <c r="W68" s="9">
        <v>-1.3757999999999999</v>
      </c>
      <c r="X68" s="9">
        <v>0.37640000000000001</v>
      </c>
      <c r="Y68" s="9">
        <v>0.63109999999999999</v>
      </c>
      <c r="Z68" s="9"/>
      <c r="AA68" s="9"/>
      <c r="AB68" s="9"/>
      <c r="AC68" s="9"/>
      <c r="AD68" s="8"/>
      <c r="AE68" s="8"/>
      <c r="AF68" s="8"/>
      <c r="AG68" s="8"/>
    </row>
    <row r="69" spans="1:33" x14ac:dyDescent="0.25">
      <c r="A69" s="8" t="s">
        <v>83</v>
      </c>
      <c r="B69" s="8" t="s">
        <v>163</v>
      </c>
      <c r="C69" s="8" t="s">
        <v>164</v>
      </c>
      <c r="D69" s="8" t="s">
        <v>95</v>
      </c>
      <c r="E69" s="8">
        <v>5</v>
      </c>
      <c r="F69" s="9">
        <v>9.4E-2</v>
      </c>
      <c r="G69" s="9">
        <v>2.9899999999999999E-2</v>
      </c>
      <c r="H69" s="9">
        <v>0.15809999999999999</v>
      </c>
      <c r="I69" s="9">
        <v>4.6199999999999998E-2</v>
      </c>
      <c r="J69" s="9">
        <v>1.9800000000000002E-2</v>
      </c>
      <c r="K69" s="9">
        <v>-5.4000000000000003E-3</v>
      </c>
      <c r="L69" s="9">
        <v>4.5100000000000001E-2</v>
      </c>
      <c r="M69" s="9">
        <v>1.8200000000000001E-2</v>
      </c>
      <c r="N69" s="9">
        <v>0.12889999999999999</v>
      </c>
      <c r="O69" s="9">
        <v>0.05</v>
      </c>
      <c r="P69" s="9">
        <v>0.20780000000000001</v>
      </c>
      <c r="Q69" s="9">
        <v>5.6800000000000003E-2</v>
      </c>
      <c r="R69" s="9">
        <v>10.5794</v>
      </c>
      <c r="S69" s="9">
        <v>3.7328000000000001</v>
      </c>
      <c r="T69" s="9">
        <v>17.426100000000002</v>
      </c>
      <c r="U69" s="9">
        <v>4.9320000000000004</v>
      </c>
      <c r="V69" s="9">
        <v>-2.2343999999999999</v>
      </c>
      <c r="W69" s="9">
        <v>-4.5103</v>
      </c>
      <c r="X69" s="9">
        <v>4.1399999999999999E-2</v>
      </c>
      <c r="Y69" s="9">
        <v>1.6394</v>
      </c>
      <c r="Z69" s="9"/>
      <c r="AA69" s="9"/>
      <c r="AB69" s="9"/>
      <c r="AC69" s="9"/>
      <c r="AD69" s="8"/>
      <c r="AE69" s="8"/>
      <c r="AF69" s="8"/>
      <c r="AG69" s="8"/>
    </row>
    <row r="70" spans="1:33" x14ac:dyDescent="0.25">
      <c r="A70" s="8" t="s">
        <v>83</v>
      </c>
      <c r="B70" s="8" t="s">
        <v>163</v>
      </c>
      <c r="C70" s="8" t="s">
        <v>164</v>
      </c>
      <c r="D70" s="8" t="s">
        <v>91</v>
      </c>
      <c r="E70" s="8">
        <v>5</v>
      </c>
      <c r="F70" s="9">
        <v>7.6300000000000007E-2</v>
      </c>
      <c r="G70" s="9">
        <v>4.7899999999999998E-2</v>
      </c>
      <c r="H70" s="9">
        <v>0.1047</v>
      </c>
      <c r="I70" s="9">
        <v>2.0500000000000001E-2</v>
      </c>
      <c r="J70" s="9">
        <v>1.1299999999999999E-2</v>
      </c>
      <c r="K70" s="9">
        <v>4.1000000000000003E-3</v>
      </c>
      <c r="L70" s="9">
        <v>1.8499999999999999E-2</v>
      </c>
      <c r="M70" s="9">
        <v>5.1999999999999998E-3</v>
      </c>
      <c r="N70" s="9">
        <v>0.1036</v>
      </c>
      <c r="O70" s="9">
        <v>6.9599999999999995E-2</v>
      </c>
      <c r="P70" s="9">
        <v>0.1376</v>
      </c>
      <c r="Q70" s="9">
        <v>2.4500000000000001E-2</v>
      </c>
      <c r="R70" s="9">
        <v>8.5869999999999997</v>
      </c>
      <c r="S70" s="9">
        <v>5.7111999999999998</v>
      </c>
      <c r="T70" s="9">
        <v>11.4628</v>
      </c>
      <c r="U70" s="9">
        <v>2.0716000000000001</v>
      </c>
      <c r="V70" s="9">
        <v>-1.3931</v>
      </c>
      <c r="W70" s="9">
        <v>-4.1928999999999998</v>
      </c>
      <c r="X70" s="9">
        <v>1.4068000000000001</v>
      </c>
      <c r="Y70" s="9">
        <v>2.0169000000000001</v>
      </c>
      <c r="Z70" s="9"/>
      <c r="AA70" s="9"/>
      <c r="AB70" s="9"/>
      <c r="AC70" s="9"/>
      <c r="AD70" s="8"/>
      <c r="AE70" s="8"/>
      <c r="AF70" s="8"/>
      <c r="AG70" s="8"/>
    </row>
    <row r="71" spans="1:33" x14ac:dyDescent="0.25">
      <c r="A71" s="8" t="s">
        <v>83</v>
      </c>
      <c r="B71" s="8" t="s">
        <v>163</v>
      </c>
      <c r="C71" s="8" t="s">
        <v>164</v>
      </c>
      <c r="D71" s="8" t="s">
        <v>92</v>
      </c>
      <c r="E71" s="8">
        <v>5</v>
      </c>
      <c r="F71" s="9">
        <v>0.16450000000000001</v>
      </c>
      <c r="G71" s="9">
        <v>6.7799999999999999E-2</v>
      </c>
      <c r="H71" s="9">
        <v>0.26129999999999998</v>
      </c>
      <c r="I71" s="9">
        <v>6.9699999999999998E-2</v>
      </c>
      <c r="J71" s="9">
        <v>5.0700000000000002E-2</v>
      </c>
      <c r="K71" s="9">
        <v>0</v>
      </c>
      <c r="L71" s="9">
        <v>0.1013</v>
      </c>
      <c r="M71" s="9">
        <v>3.6499999999999998E-2</v>
      </c>
      <c r="N71" s="9">
        <v>0.2102</v>
      </c>
      <c r="O71" s="9">
        <v>9.8299999999999998E-2</v>
      </c>
      <c r="P71" s="9">
        <v>0.3221</v>
      </c>
      <c r="Q71" s="9">
        <v>8.0600000000000005E-2</v>
      </c>
      <c r="R71" s="9">
        <v>20.7592</v>
      </c>
      <c r="S71" s="9">
        <v>9.5213000000000001</v>
      </c>
      <c r="T71" s="9">
        <v>31.9971</v>
      </c>
      <c r="U71" s="9">
        <v>8.0952000000000002</v>
      </c>
      <c r="V71" s="9">
        <v>-2.9342999999999999</v>
      </c>
      <c r="W71" s="9">
        <v>-7.3070000000000004</v>
      </c>
      <c r="X71" s="9">
        <v>1.4382999999999999</v>
      </c>
      <c r="Y71" s="9">
        <v>3.1497999999999999</v>
      </c>
      <c r="Z71" s="9"/>
      <c r="AA71" s="9"/>
      <c r="AB71" s="9"/>
      <c r="AC71" s="9"/>
      <c r="AD71" s="8"/>
      <c r="AE71" s="8"/>
      <c r="AF71" s="8"/>
      <c r="AG71" s="8"/>
    </row>
    <row r="72" spans="1:33" x14ac:dyDescent="0.25">
      <c r="A72" s="8" t="s">
        <v>83</v>
      </c>
      <c r="B72" s="8" t="s">
        <v>163</v>
      </c>
      <c r="C72" s="8" t="s">
        <v>164</v>
      </c>
      <c r="D72" s="8" t="s">
        <v>135</v>
      </c>
      <c r="E72" s="8">
        <v>5</v>
      </c>
      <c r="F72" s="9">
        <v>0.29170000000000001</v>
      </c>
      <c r="G72" s="9">
        <v>5.1499999999999997E-2</v>
      </c>
      <c r="H72" s="9">
        <v>0.53190000000000004</v>
      </c>
      <c r="I72" s="9">
        <v>0.17299999999999999</v>
      </c>
      <c r="J72" s="9">
        <v>0.1565</v>
      </c>
      <c r="K72" s="9">
        <v>-7.6300000000000007E-2</v>
      </c>
      <c r="L72" s="9">
        <v>0.38940000000000002</v>
      </c>
      <c r="M72" s="9">
        <v>0.16769999999999999</v>
      </c>
      <c r="N72" s="9">
        <v>0.35470000000000002</v>
      </c>
      <c r="O72" s="9">
        <v>0.1111</v>
      </c>
      <c r="P72" s="9">
        <v>0.59819999999999995</v>
      </c>
      <c r="Q72" s="9">
        <v>0.1754</v>
      </c>
      <c r="R72" s="9">
        <v>37.397799999999997</v>
      </c>
      <c r="S72" s="9">
        <v>14.7462</v>
      </c>
      <c r="T72" s="9">
        <v>60.049399999999999</v>
      </c>
      <c r="U72" s="9">
        <v>16.317</v>
      </c>
      <c r="V72" s="9">
        <v>-2.1701999999999999</v>
      </c>
      <c r="W72" s="9">
        <v>-5.7449000000000003</v>
      </c>
      <c r="X72" s="9">
        <v>1.4045000000000001</v>
      </c>
      <c r="Y72" s="9">
        <v>2.5750000000000002</v>
      </c>
      <c r="Z72" s="9"/>
      <c r="AA72" s="9"/>
      <c r="AB72" s="9"/>
      <c r="AC72" s="9"/>
      <c r="AD72" s="8"/>
      <c r="AE72" s="8"/>
      <c r="AF72" s="8"/>
      <c r="AG72" s="8"/>
    </row>
    <row r="73" spans="1:33" x14ac:dyDescent="0.25">
      <c r="A73" s="8" t="s">
        <v>83</v>
      </c>
      <c r="B73" s="8" t="s">
        <v>163</v>
      </c>
      <c r="C73" s="8" t="s">
        <v>164</v>
      </c>
      <c r="D73" s="8" t="s">
        <v>97</v>
      </c>
      <c r="E73" s="8">
        <v>5</v>
      </c>
      <c r="F73" s="9">
        <v>0.19059999999999999</v>
      </c>
      <c r="G73" s="9">
        <v>4.9000000000000002E-2</v>
      </c>
      <c r="H73" s="9">
        <v>0.33229999999999998</v>
      </c>
      <c r="I73" s="9">
        <v>0.10199999999999999</v>
      </c>
      <c r="J73" s="9">
        <v>6.2100000000000002E-2</v>
      </c>
      <c r="K73" s="9">
        <v>8.9999999999999998E-4</v>
      </c>
      <c r="L73" s="9">
        <v>0.1234</v>
      </c>
      <c r="M73" s="9">
        <v>4.41E-2</v>
      </c>
      <c r="N73" s="9">
        <v>0.21790000000000001</v>
      </c>
      <c r="O73" s="9">
        <v>4.99E-2</v>
      </c>
      <c r="P73" s="9">
        <v>0.38590000000000002</v>
      </c>
      <c r="Q73" s="9">
        <v>0.121</v>
      </c>
      <c r="R73" s="9">
        <v>58.014499999999998</v>
      </c>
      <c r="S73" s="9">
        <v>5.7586000000000004</v>
      </c>
      <c r="T73" s="9">
        <v>110.2704</v>
      </c>
      <c r="U73" s="9">
        <v>37.642299999999999</v>
      </c>
      <c r="V73" s="9">
        <v>-15758191454.023701</v>
      </c>
      <c r="W73" s="9">
        <v>-59504584404.8312</v>
      </c>
      <c r="X73" s="9">
        <v>27988201496.783699</v>
      </c>
      <c r="Y73" s="9">
        <v>31512521438.9505</v>
      </c>
      <c r="Z73" s="9"/>
      <c r="AA73" s="9"/>
      <c r="AB73" s="9"/>
      <c r="AC73" s="9"/>
      <c r="AD73" s="8"/>
      <c r="AE73" s="8"/>
      <c r="AF73" s="8"/>
      <c r="AG73" s="8"/>
    </row>
    <row r="74" spans="1:33" x14ac:dyDescent="0.25">
      <c r="A74" s="8" t="s">
        <v>83</v>
      </c>
      <c r="B74" s="8" t="s">
        <v>163</v>
      </c>
      <c r="C74" s="8" t="s">
        <v>165</v>
      </c>
      <c r="D74" s="8" t="s">
        <v>94</v>
      </c>
      <c r="E74" s="8">
        <v>5</v>
      </c>
      <c r="F74" s="9">
        <v>0.10829999999999999</v>
      </c>
      <c r="G74" s="9">
        <v>6.4899999999999999E-2</v>
      </c>
      <c r="H74" s="9">
        <v>0.1517</v>
      </c>
      <c r="I74" s="9">
        <v>3.1300000000000001E-2</v>
      </c>
      <c r="J74" s="9">
        <v>0.10829999999999999</v>
      </c>
      <c r="K74" s="9">
        <v>6.4899999999999999E-2</v>
      </c>
      <c r="L74" s="9">
        <v>0.1517</v>
      </c>
      <c r="M74" s="9">
        <v>3.1300000000000001E-2</v>
      </c>
      <c r="N74" s="9">
        <v>0.3261</v>
      </c>
      <c r="O74" s="9">
        <v>0.26400000000000001</v>
      </c>
      <c r="P74" s="9">
        <v>0.38819999999999999</v>
      </c>
      <c r="Q74" s="9">
        <v>4.4699999999999997E-2</v>
      </c>
      <c r="R74" s="9">
        <v>11.3611</v>
      </c>
      <c r="S74" s="9">
        <v>1.2667999999999999</v>
      </c>
      <c r="T74" s="9">
        <v>21.455500000000001</v>
      </c>
      <c r="U74" s="9">
        <v>7.2713999999999999</v>
      </c>
      <c r="V74" s="9">
        <v>0.48709999999999998</v>
      </c>
      <c r="W74" s="9">
        <v>0.1217</v>
      </c>
      <c r="X74" s="9">
        <v>0.85250000000000004</v>
      </c>
      <c r="Y74" s="9">
        <v>0.26319999999999999</v>
      </c>
      <c r="Z74" s="9"/>
      <c r="AA74" s="9"/>
      <c r="AB74" s="9"/>
      <c r="AC74" s="9"/>
      <c r="AD74" s="8"/>
      <c r="AE74" s="8"/>
      <c r="AF74" s="8"/>
      <c r="AG74" s="8"/>
    </row>
    <row r="75" spans="1:33" x14ac:dyDescent="0.25">
      <c r="A75" s="8" t="s">
        <v>83</v>
      </c>
      <c r="B75" s="8" t="s">
        <v>163</v>
      </c>
      <c r="C75" s="8" t="s">
        <v>165</v>
      </c>
      <c r="D75" s="8" t="s">
        <v>93</v>
      </c>
      <c r="E75" s="8">
        <v>5</v>
      </c>
      <c r="F75" s="9">
        <v>2.3300000000000001E-2</v>
      </c>
      <c r="G75" s="9">
        <v>1.5699999999999999E-2</v>
      </c>
      <c r="H75" s="9">
        <v>3.09E-2</v>
      </c>
      <c r="I75" s="9">
        <v>5.4999999999999997E-3</v>
      </c>
      <c r="J75" s="9">
        <v>2.0999999999999999E-3</v>
      </c>
      <c r="K75" s="9">
        <v>8.0000000000000004E-4</v>
      </c>
      <c r="L75" s="9">
        <v>3.5000000000000001E-3</v>
      </c>
      <c r="M75" s="9">
        <v>1E-3</v>
      </c>
      <c r="N75" s="9">
        <v>4.4999999999999998E-2</v>
      </c>
      <c r="O75" s="9">
        <v>3.1600000000000003E-2</v>
      </c>
      <c r="P75" s="9">
        <v>5.8299999999999998E-2</v>
      </c>
      <c r="Q75" s="9">
        <v>9.5999999999999992E-3</v>
      </c>
      <c r="R75" s="9">
        <v>57.232199999999999</v>
      </c>
      <c r="S75" s="9">
        <v>30.3598</v>
      </c>
      <c r="T75" s="9">
        <v>84.104699999999994</v>
      </c>
      <c r="U75" s="9">
        <v>19.357500000000002</v>
      </c>
      <c r="V75" s="9">
        <v>0.53879999999999995</v>
      </c>
      <c r="W75" s="9">
        <v>0.42449999999999999</v>
      </c>
      <c r="X75" s="9">
        <v>0.65310000000000001</v>
      </c>
      <c r="Y75" s="9">
        <v>8.2299999999999998E-2</v>
      </c>
      <c r="Z75" s="9"/>
      <c r="AA75" s="9"/>
      <c r="AB75" s="9"/>
      <c r="AC75" s="9"/>
      <c r="AD75" s="8"/>
      <c r="AE75" s="8"/>
      <c r="AF75" s="8"/>
      <c r="AG75" s="8"/>
    </row>
    <row r="76" spans="1:33" x14ac:dyDescent="0.25">
      <c r="A76" s="8" t="s">
        <v>83</v>
      </c>
      <c r="B76" s="8" t="s">
        <v>163</v>
      </c>
      <c r="C76" s="8" t="s">
        <v>165</v>
      </c>
      <c r="D76" s="8" t="s">
        <v>96</v>
      </c>
      <c r="E76" s="8">
        <v>5</v>
      </c>
      <c r="F76" s="9">
        <v>0.12640000000000001</v>
      </c>
      <c r="G76" s="9">
        <v>0.1045</v>
      </c>
      <c r="H76" s="9">
        <v>0.14829999999999999</v>
      </c>
      <c r="I76" s="9">
        <v>1.5800000000000002E-2</v>
      </c>
      <c r="J76" s="9">
        <v>2.3599999999999999E-2</v>
      </c>
      <c r="K76" s="9">
        <v>1.5900000000000001E-2</v>
      </c>
      <c r="L76" s="9">
        <v>3.1399999999999997E-2</v>
      </c>
      <c r="M76" s="9">
        <v>5.5999999999999999E-3</v>
      </c>
      <c r="N76" s="9">
        <v>0.15260000000000001</v>
      </c>
      <c r="O76" s="9">
        <v>0.1263</v>
      </c>
      <c r="P76" s="9">
        <v>0.17899999999999999</v>
      </c>
      <c r="Q76" s="9">
        <v>1.9E-2</v>
      </c>
      <c r="R76" s="9">
        <v>32.670999999999999</v>
      </c>
      <c r="S76" s="9">
        <v>19.753299999999999</v>
      </c>
      <c r="T76" s="9">
        <v>45.588799999999999</v>
      </c>
      <c r="U76" s="9">
        <v>9.3051999999999992</v>
      </c>
      <c r="V76" s="9">
        <v>0.36270000000000002</v>
      </c>
      <c r="W76" s="9">
        <v>-4.9599999999999998E-2</v>
      </c>
      <c r="X76" s="9">
        <v>0.77490000000000003</v>
      </c>
      <c r="Y76" s="9">
        <v>0.29699999999999999</v>
      </c>
      <c r="Z76" s="9"/>
      <c r="AA76" s="9"/>
      <c r="AB76" s="9"/>
      <c r="AC76" s="9"/>
      <c r="AD76" s="8"/>
      <c r="AE76" s="8"/>
      <c r="AF76" s="8"/>
      <c r="AG76" s="8"/>
    </row>
    <row r="77" spans="1:33" x14ac:dyDescent="0.25">
      <c r="A77" s="8" t="s">
        <v>83</v>
      </c>
      <c r="B77" s="8" t="s">
        <v>163</v>
      </c>
      <c r="C77" s="8" t="s">
        <v>165</v>
      </c>
      <c r="D77" s="8" t="s">
        <v>98</v>
      </c>
      <c r="E77" s="8">
        <v>5</v>
      </c>
      <c r="F77" s="9">
        <v>0.1968</v>
      </c>
      <c r="G77" s="9">
        <v>2.5700000000000001E-2</v>
      </c>
      <c r="H77" s="9">
        <v>0.3679</v>
      </c>
      <c r="I77" s="9">
        <v>0.12330000000000001</v>
      </c>
      <c r="J77" s="9">
        <v>0.28410000000000002</v>
      </c>
      <c r="K77" s="9">
        <v>-5.91E-2</v>
      </c>
      <c r="L77" s="9">
        <v>0.62739999999999996</v>
      </c>
      <c r="M77" s="9">
        <v>0.24729999999999999</v>
      </c>
      <c r="N77" s="9">
        <v>0.4874</v>
      </c>
      <c r="O77" s="9">
        <v>0.18779999999999999</v>
      </c>
      <c r="P77" s="9">
        <v>0.78700000000000003</v>
      </c>
      <c r="Q77" s="9">
        <v>0.21579999999999999</v>
      </c>
      <c r="R77" s="9">
        <v>95</v>
      </c>
      <c r="S77" s="9">
        <v>81.117800000000003</v>
      </c>
      <c r="T77" s="9">
        <v>108.8822</v>
      </c>
      <c r="U77" s="9">
        <v>10</v>
      </c>
      <c r="V77" s="9">
        <v>-0.126</v>
      </c>
      <c r="W77" s="9">
        <v>-0.32279999999999998</v>
      </c>
      <c r="X77" s="9">
        <v>7.0800000000000002E-2</v>
      </c>
      <c r="Y77" s="9">
        <v>0.14180000000000001</v>
      </c>
      <c r="Z77" s="9"/>
      <c r="AA77" s="9"/>
      <c r="AB77" s="9"/>
      <c r="AC77" s="9"/>
      <c r="AD77" s="8"/>
      <c r="AE77" s="8"/>
      <c r="AF77" s="8"/>
      <c r="AG77" s="8"/>
    </row>
    <row r="78" spans="1:33" x14ac:dyDescent="0.25">
      <c r="A78" s="8" t="s">
        <v>83</v>
      </c>
      <c r="B78" s="8" t="s">
        <v>163</v>
      </c>
      <c r="C78" s="8" t="s">
        <v>165</v>
      </c>
      <c r="D78" s="8" t="s">
        <v>95</v>
      </c>
      <c r="E78" s="8">
        <v>5</v>
      </c>
      <c r="F78" s="9">
        <v>5.6500000000000002E-2</v>
      </c>
      <c r="G78" s="9">
        <v>4.4900000000000002E-2</v>
      </c>
      <c r="H78" s="9">
        <v>6.8099999999999994E-2</v>
      </c>
      <c r="I78" s="9">
        <v>8.3999999999999995E-3</v>
      </c>
      <c r="J78" s="9">
        <v>5.7000000000000002E-3</v>
      </c>
      <c r="K78" s="9">
        <v>3.7000000000000002E-3</v>
      </c>
      <c r="L78" s="9">
        <v>7.7000000000000002E-3</v>
      </c>
      <c r="M78" s="9">
        <v>1.4E-3</v>
      </c>
      <c r="N78" s="9">
        <v>7.5300000000000006E-2</v>
      </c>
      <c r="O78" s="9">
        <v>6.2100000000000002E-2</v>
      </c>
      <c r="P78" s="9">
        <v>8.8499999999999995E-2</v>
      </c>
      <c r="Q78" s="9">
        <v>9.4999999999999998E-3</v>
      </c>
      <c r="R78" s="9">
        <v>6.4889000000000001</v>
      </c>
      <c r="S78" s="9">
        <v>5.0486000000000004</v>
      </c>
      <c r="T78" s="9">
        <v>7.9291</v>
      </c>
      <c r="U78" s="9">
        <v>1.0375000000000001</v>
      </c>
      <c r="V78" s="9">
        <v>-0.1774</v>
      </c>
      <c r="W78" s="9">
        <v>-0.64019999999999999</v>
      </c>
      <c r="X78" s="9">
        <v>0.28549999999999998</v>
      </c>
      <c r="Y78" s="9">
        <v>0.33339999999999997</v>
      </c>
      <c r="Z78" s="9"/>
      <c r="AA78" s="9"/>
      <c r="AB78" s="9"/>
      <c r="AC78" s="9"/>
      <c r="AD78" s="8"/>
      <c r="AE78" s="8"/>
      <c r="AF78" s="8"/>
      <c r="AG78" s="8"/>
    </row>
    <row r="79" spans="1:33" x14ac:dyDescent="0.25">
      <c r="A79" s="8" t="s">
        <v>83</v>
      </c>
      <c r="B79" s="8" t="s">
        <v>163</v>
      </c>
      <c r="C79" s="8" t="s">
        <v>165</v>
      </c>
      <c r="D79" s="8" t="s">
        <v>91</v>
      </c>
      <c r="E79" s="8">
        <v>5</v>
      </c>
      <c r="F79" s="9">
        <v>4.7800000000000002E-2</v>
      </c>
      <c r="G79" s="9">
        <v>3.1399999999999997E-2</v>
      </c>
      <c r="H79" s="9">
        <v>6.4299999999999996E-2</v>
      </c>
      <c r="I79" s="9">
        <v>1.18E-2</v>
      </c>
      <c r="J79" s="9">
        <v>5.0000000000000001E-3</v>
      </c>
      <c r="K79" s="9">
        <v>1.8E-3</v>
      </c>
      <c r="L79" s="9">
        <v>8.2000000000000007E-3</v>
      </c>
      <c r="M79" s="9">
        <v>2.3E-3</v>
      </c>
      <c r="N79" s="9">
        <v>6.8500000000000005E-2</v>
      </c>
      <c r="O79" s="9">
        <v>4.3999999999999997E-2</v>
      </c>
      <c r="P79" s="9">
        <v>9.2999999999999999E-2</v>
      </c>
      <c r="Q79" s="9">
        <v>1.7600000000000001E-2</v>
      </c>
      <c r="R79" s="9">
        <v>5.5384000000000002</v>
      </c>
      <c r="S79" s="9">
        <v>3.355</v>
      </c>
      <c r="T79" s="9">
        <v>7.7218</v>
      </c>
      <c r="U79" s="9">
        <v>1.5728</v>
      </c>
      <c r="V79" s="9">
        <v>0.17710000000000001</v>
      </c>
      <c r="W79" s="9">
        <v>-0.1038</v>
      </c>
      <c r="X79" s="9">
        <v>0.45810000000000001</v>
      </c>
      <c r="Y79" s="9">
        <v>0.2024</v>
      </c>
      <c r="Z79" s="9"/>
      <c r="AA79" s="9"/>
      <c r="AB79" s="9"/>
      <c r="AC79" s="9"/>
      <c r="AD79" s="8"/>
      <c r="AE79" s="8"/>
      <c r="AF79" s="8"/>
      <c r="AG79" s="8"/>
    </row>
    <row r="80" spans="1:33" x14ac:dyDescent="0.25">
      <c r="A80" s="8" t="s">
        <v>83</v>
      </c>
      <c r="B80" s="8" t="s">
        <v>163</v>
      </c>
      <c r="C80" s="8" t="s">
        <v>165</v>
      </c>
      <c r="D80" s="8" t="s">
        <v>92</v>
      </c>
      <c r="E80" s="8">
        <v>5</v>
      </c>
      <c r="F80" s="9">
        <v>7.2900000000000006E-2</v>
      </c>
      <c r="G80" s="9">
        <v>5.5599999999999997E-2</v>
      </c>
      <c r="H80" s="9">
        <v>9.0200000000000002E-2</v>
      </c>
      <c r="I80" s="9">
        <v>1.2500000000000001E-2</v>
      </c>
      <c r="J80" s="9">
        <v>9.7999999999999997E-3</v>
      </c>
      <c r="K80" s="9">
        <v>3.8E-3</v>
      </c>
      <c r="L80" s="9">
        <v>1.5800000000000002E-2</v>
      </c>
      <c r="M80" s="9">
        <v>4.3E-3</v>
      </c>
      <c r="N80" s="9">
        <v>9.6799999999999997E-2</v>
      </c>
      <c r="O80" s="9">
        <v>6.8199999999999997E-2</v>
      </c>
      <c r="P80" s="9">
        <v>0.12529999999999999</v>
      </c>
      <c r="Q80" s="9">
        <v>2.0500000000000001E-2</v>
      </c>
      <c r="R80" s="9">
        <v>9.9329000000000001</v>
      </c>
      <c r="S80" s="9">
        <v>5.9560000000000004</v>
      </c>
      <c r="T80" s="9">
        <v>13.9099</v>
      </c>
      <c r="U80" s="9">
        <v>2.8647999999999998</v>
      </c>
      <c r="V80" s="9">
        <v>0.25219999999999998</v>
      </c>
      <c r="W80" s="9">
        <v>1.9900000000000001E-2</v>
      </c>
      <c r="X80" s="9">
        <v>0.4844</v>
      </c>
      <c r="Y80" s="9">
        <v>0.1673</v>
      </c>
      <c r="Z80" s="9"/>
      <c r="AA80" s="9"/>
      <c r="AB80" s="9"/>
      <c r="AC80" s="9"/>
      <c r="AD80" s="8"/>
      <c r="AE80" s="8"/>
      <c r="AF80" s="8"/>
      <c r="AG80" s="8"/>
    </row>
    <row r="81" spans="1:33" x14ac:dyDescent="0.25">
      <c r="A81" s="8" t="s">
        <v>83</v>
      </c>
      <c r="B81" s="8" t="s">
        <v>163</v>
      </c>
      <c r="C81" s="8" t="s">
        <v>165</v>
      </c>
      <c r="D81" s="8" t="s">
        <v>135</v>
      </c>
      <c r="E81" s="8">
        <v>5</v>
      </c>
      <c r="F81" s="9">
        <v>0.1527</v>
      </c>
      <c r="G81" s="9">
        <v>0.1143</v>
      </c>
      <c r="H81" s="9">
        <v>0.191</v>
      </c>
      <c r="I81" s="9">
        <v>2.76E-2</v>
      </c>
      <c r="J81" s="9">
        <v>3.9699999999999999E-2</v>
      </c>
      <c r="K81" s="9">
        <v>2.0899999999999998E-2</v>
      </c>
      <c r="L81" s="9">
        <v>5.8599999999999999E-2</v>
      </c>
      <c r="M81" s="9">
        <v>1.3599999999999999E-2</v>
      </c>
      <c r="N81" s="9">
        <v>0.1968</v>
      </c>
      <c r="O81" s="9">
        <v>0.1535</v>
      </c>
      <c r="P81" s="9">
        <v>0.2402</v>
      </c>
      <c r="Q81" s="9">
        <v>3.1199999999999999E-2</v>
      </c>
      <c r="R81" s="9">
        <v>23.3186</v>
      </c>
      <c r="S81" s="9">
        <v>8.5187000000000008</v>
      </c>
      <c r="T81" s="9">
        <v>38.118600000000001</v>
      </c>
      <c r="U81" s="9">
        <v>10.661099999999999</v>
      </c>
      <c r="V81" s="9">
        <v>6.0999999999999999E-2</v>
      </c>
      <c r="W81" s="9">
        <v>-0.33050000000000002</v>
      </c>
      <c r="X81" s="9">
        <v>0.4526</v>
      </c>
      <c r="Y81" s="9">
        <v>0.28210000000000002</v>
      </c>
      <c r="Z81" s="9"/>
      <c r="AA81" s="9"/>
      <c r="AB81" s="9"/>
      <c r="AC81" s="9"/>
      <c r="AD81" s="8"/>
      <c r="AE81" s="8"/>
      <c r="AF81" s="8"/>
      <c r="AG81" s="8"/>
    </row>
    <row r="82" spans="1:33" x14ac:dyDescent="0.25">
      <c r="A82" s="8" t="s">
        <v>83</v>
      </c>
      <c r="B82" s="8" t="s">
        <v>163</v>
      </c>
      <c r="C82" s="8" t="s">
        <v>165</v>
      </c>
      <c r="D82" s="8" t="s">
        <v>97</v>
      </c>
      <c r="E82" s="8">
        <v>5</v>
      </c>
      <c r="F82" s="9">
        <v>0.1371</v>
      </c>
      <c r="G82" s="9">
        <v>2.3400000000000001E-2</v>
      </c>
      <c r="H82" s="9">
        <v>0.25069999999999998</v>
      </c>
      <c r="I82" s="9">
        <v>8.1900000000000001E-2</v>
      </c>
      <c r="J82" s="9">
        <v>3.2000000000000001E-2</v>
      </c>
      <c r="K82" s="9">
        <v>-2.1100000000000001E-2</v>
      </c>
      <c r="L82" s="9">
        <v>8.5199999999999998E-2</v>
      </c>
      <c r="M82" s="9">
        <v>3.8300000000000001E-2</v>
      </c>
      <c r="N82" s="9">
        <v>0.14910000000000001</v>
      </c>
      <c r="O82" s="9">
        <v>1.17E-2</v>
      </c>
      <c r="P82" s="9">
        <v>0.28649999999999998</v>
      </c>
      <c r="Q82" s="9">
        <v>9.9000000000000005E-2</v>
      </c>
      <c r="R82" s="9">
        <v>34.894199999999998</v>
      </c>
      <c r="S82" s="9">
        <v>14.5541</v>
      </c>
      <c r="T82" s="9">
        <v>55.234299999999998</v>
      </c>
      <c r="U82" s="9">
        <v>14.651899999999999</v>
      </c>
      <c r="V82" s="9">
        <v>-7272695654.8066998</v>
      </c>
      <c r="W82" s="9">
        <v>-24838740492.082401</v>
      </c>
      <c r="X82" s="9">
        <v>10293349182.469101</v>
      </c>
      <c r="Y82" s="9">
        <v>12653623011.9517</v>
      </c>
      <c r="Z82" s="9"/>
      <c r="AA82" s="9"/>
      <c r="AB82" s="9"/>
      <c r="AC82" s="9"/>
      <c r="AD82" s="8"/>
      <c r="AE82" s="8"/>
      <c r="AF82" s="8"/>
      <c r="AG82" s="8"/>
    </row>
    <row r="83" spans="1:33" x14ac:dyDescent="0.25">
      <c r="A83" s="8" t="s">
        <v>83</v>
      </c>
      <c r="B83" s="8" t="s">
        <v>163</v>
      </c>
      <c r="C83" s="8" t="s">
        <v>131</v>
      </c>
      <c r="D83" s="8" t="s">
        <v>94</v>
      </c>
      <c r="E83" s="8">
        <v>5</v>
      </c>
      <c r="F83" s="9">
        <v>0.191</v>
      </c>
      <c r="G83" s="9">
        <v>7.7799999999999994E-2</v>
      </c>
      <c r="H83" s="9">
        <v>0.30409999999999998</v>
      </c>
      <c r="I83" s="9">
        <v>8.1500000000000003E-2</v>
      </c>
      <c r="J83" s="9">
        <v>0.2024</v>
      </c>
      <c r="K83" s="9">
        <v>7.8E-2</v>
      </c>
      <c r="L83" s="9">
        <v>0.32669999999999999</v>
      </c>
      <c r="M83" s="9">
        <v>8.9599999999999999E-2</v>
      </c>
      <c r="N83" s="9">
        <v>0.43759999999999999</v>
      </c>
      <c r="O83" s="9">
        <v>0.29310000000000003</v>
      </c>
      <c r="P83" s="9">
        <v>0.58220000000000005</v>
      </c>
      <c r="Q83" s="9">
        <v>0.1041</v>
      </c>
      <c r="R83" s="9">
        <v>24.416699999999999</v>
      </c>
      <c r="S83" s="9">
        <v>17.289100000000001</v>
      </c>
      <c r="T83" s="9">
        <v>31.5442</v>
      </c>
      <c r="U83" s="9">
        <v>5.1342999999999996</v>
      </c>
      <c r="V83" s="9">
        <v>0.12130000000000001</v>
      </c>
      <c r="W83" s="9">
        <v>-0.38200000000000001</v>
      </c>
      <c r="X83" s="9">
        <v>0.62460000000000004</v>
      </c>
      <c r="Y83" s="9">
        <v>0.36259999999999998</v>
      </c>
      <c r="Z83" s="9"/>
      <c r="AA83" s="9"/>
      <c r="AB83" s="9"/>
      <c r="AC83" s="9"/>
      <c r="AD83" s="8"/>
      <c r="AE83" s="8"/>
      <c r="AF83" s="8"/>
      <c r="AG83" s="8"/>
    </row>
    <row r="84" spans="1:33" x14ac:dyDescent="0.25">
      <c r="A84" s="8" t="s">
        <v>83</v>
      </c>
      <c r="B84" s="8" t="s">
        <v>163</v>
      </c>
      <c r="C84" s="8" t="s">
        <v>131</v>
      </c>
      <c r="D84" s="8" t="s">
        <v>93</v>
      </c>
      <c r="E84" s="8">
        <v>5</v>
      </c>
      <c r="F84" s="9">
        <v>2.9700000000000001E-2</v>
      </c>
      <c r="G84" s="9">
        <v>2.0299999999999999E-2</v>
      </c>
      <c r="H84" s="9">
        <v>3.9100000000000003E-2</v>
      </c>
      <c r="I84" s="9">
        <v>6.7999999999999996E-3</v>
      </c>
      <c r="J84" s="9">
        <v>3.0000000000000001E-3</v>
      </c>
      <c r="K84" s="9">
        <v>1.5E-3</v>
      </c>
      <c r="L84" s="9">
        <v>4.4999999999999997E-3</v>
      </c>
      <c r="M84" s="9">
        <v>1E-3</v>
      </c>
      <c r="N84" s="9">
        <v>5.3999999999999999E-2</v>
      </c>
      <c r="O84" s="9">
        <v>4.1000000000000002E-2</v>
      </c>
      <c r="P84" s="9">
        <v>6.7000000000000004E-2</v>
      </c>
      <c r="Q84" s="9">
        <v>9.4000000000000004E-3</v>
      </c>
      <c r="R84" s="9">
        <v>78.983800000000002</v>
      </c>
      <c r="S84" s="9">
        <v>47.464799999999997</v>
      </c>
      <c r="T84" s="9">
        <v>110.5027</v>
      </c>
      <c r="U84" s="9">
        <v>22.704499999999999</v>
      </c>
      <c r="V84" s="9">
        <v>0.29239999999999999</v>
      </c>
      <c r="W84" s="9">
        <v>-0.1216</v>
      </c>
      <c r="X84" s="9">
        <v>0.70640000000000003</v>
      </c>
      <c r="Y84" s="9">
        <v>0.29820000000000002</v>
      </c>
      <c r="Z84" s="9"/>
      <c r="AA84" s="9"/>
      <c r="AB84" s="9"/>
      <c r="AC84" s="9"/>
      <c r="AD84" s="8"/>
      <c r="AE84" s="8"/>
      <c r="AF84" s="8"/>
      <c r="AG84" s="8"/>
    </row>
    <row r="85" spans="1:33" x14ac:dyDescent="0.25">
      <c r="A85" s="8" t="s">
        <v>83</v>
      </c>
      <c r="B85" s="8" t="s">
        <v>163</v>
      </c>
      <c r="C85" s="8" t="s">
        <v>131</v>
      </c>
      <c r="D85" s="8" t="s">
        <v>96</v>
      </c>
      <c r="E85" s="8">
        <v>5</v>
      </c>
      <c r="F85" s="9">
        <v>0.13780000000000001</v>
      </c>
      <c r="G85" s="9">
        <v>0.12540000000000001</v>
      </c>
      <c r="H85" s="9">
        <v>0.1502</v>
      </c>
      <c r="I85" s="9">
        <v>8.8999999999999999E-3</v>
      </c>
      <c r="J85" s="9">
        <v>3.0099999999999998E-2</v>
      </c>
      <c r="K85" s="9">
        <v>2.2100000000000002E-2</v>
      </c>
      <c r="L85" s="9">
        <v>3.7999999999999999E-2</v>
      </c>
      <c r="M85" s="9">
        <v>5.7000000000000002E-3</v>
      </c>
      <c r="N85" s="9">
        <v>0.17269999999999999</v>
      </c>
      <c r="O85" s="9">
        <v>0.1507</v>
      </c>
      <c r="P85" s="9">
        <v>0.1946</v>
      </c>
      <c r="Q85" s="9">
        <v>1.5800000000000002E-2</v>
      </c>
      <c r="R85" s="9">
        <v>36.624400000000001</v>
      </c>
      <c r="S85" s="9">
        <v>27.149000000000001</v>
      </c>
      <c r="T85" s="9">
        <v>46.099800000000002</v>
      </c>
      <c r="U85" s="9">
        <v>6.8255999999999997</v>
      </c>
      <c r="V85" s="9">
        <v>0.2056</v>
      </c>
      <c r="W85" s="9">
        <v>-0.22309999999999999</v>
      </c>
      <c r="X85" s="9">
        <v>0.63419999999999999</v>
      </c>
      <c r="Y85" s="9">
        <v>0.30880000000000002</v>
      </c>
      <c r="Z85" s="9"/>
      <c r="AA85" s="9"/>
      <c r="AB85" s="9"/>
      <c r="AC85" s="9"/>
      <c r="AD85" s="8"/>
      <c r="AE85" s="8"/>
      <c r="AF85" s="8"/>
      <c r="AG85" s="8"/>
    </row>
    <row r="86" spans="1:33" x14ac:dyDescent="0.25">
      <c r="A86" s="8" t="s">
        <v>83</v>
      </c>
      <c r="B86" s="8" t="s">
        <v>163</v>
      </c>
      <c r="C86" s="8" t="s">
        <v>131</v>
      </c>
      <c r="D86" s="8" t="s">
        <v>98</v>
      </c>
      <c r="E86" s="8">
        <v>5</v>
      </c>
      <c r="F86" s="9">
        <v>0.25430000000000003</v>
      </c>
      <c r="G86" s="9">
        <v>9.0399999999999994E-2</v>
      </c>
      <c r="H86" s="9">
        <v>0.41810000000000003</v>
      </c>
      <c r="I86" s="9">
        <v>0.11799999999999999</v>
      </c>
      <c r="J86" s="9">
        <v>0.34160000000000001</v>
      </c>
      <c r="K86" s="9">
        <v>2.7699999999999999E-2</v>
      </c>
      <c r="L86" s="9">
        <v>0.65559999999999996</v>
      </c>
      <c r="M86" s="9">
        <v>0.2261</v>
      </c>
      <c r="N86" s="9">
        <v>0.55279999999999996</v>
      </c>
      <c r="O86" s="9">
        <v>0.28910000000000002</v>
      </c>
      <c r="P86" s="9">
        <v>0.81640000000000001</v>
      </c>
      <c r="Q86" s="9">
        <v>0.18990000000000001</v>
      </c>
      <c r="R86" s="9">
        <v>92.777799999999999</v>
      </c>
      <c r="S86" s="9">
        <v>79.067999999999998</v>
      </c>
      <c r="T86" s="9">
        <v>106.4875</v>
      </c>
      <c r="U86" s="9">
        <v>9.8757999999999999</v>
      </c>
      <c r="V86" s="9">
        <v>-0.65539999999999998</v>
      </c>
      <c r="W86" s="9">
        <v>-1.5546</v>
      </c>
      <c r="X86" s="9">
        <v>0.2437</v>
      </c>
      <c r="Y86" s="9">
        <v>0.64770000000000005</v>
      </c>
      <c r="Z86" s="9"/>
      <c r="AA86" s="9"/>
      <c r="AB86" s="9"/>
      <c r="AC86" s="9"/>
      <c r="AD86" s="8"/>
      <c r="AE86" s="8"/>
      <c r="AF86" s="8"/>
      <c r="AG86" s="8"/>
    </row>
    <row r="87" spans="1:33" x14ac:dyDescent="0.25">
      <c r="A87" s="8" t="s">
        <v>83</v>
      </c>
      <c r="B87" s="8" t="s">
        <v>163</v>
      </c>
      <c r="C87" s="8" t="s">
        <v>131</v>
      </c>
      <c r="D87" s="8" t="s">
        <v>95</v>
      </c>
      <c r="E87" s="8">
        <v>5</v>
      </c>
      <c r="F87" s="9">
        <v>5.6599999999999998E-2</v>
      </c>
      <c r="G87" s="9">
        <v>4.9099999999999998E-2</v>
      </c>
      <c r="H87" s="9">
        <v>6.4100000000000004E-2</v>
      </c>
      <c r="I87" s="9">
        <v>5.4000000000000003E-3</v>
      </c>
      <c r="J87" s="9">
        <v>6.0000000000000001E-3</v>
      </c>
      <c r="K87" s="9">
        <v>4.1000000000000003E-3</v>
      </c>
      <c r="L87" s="9">
        <v>8.0000000000000002E-3</v>
      </c>
      <c r="M87" s="9">
        <v>1.4E-3</v>
      </c>
      <c r="N87" s="9">
        <v>7.7399999999999997E-2</v>
      </c>
      <c r="O87" s="9">
        <v>6.5000000000000002E-2</v>
      </c>
      <c r="P87" s="9">
        <v>8.9700000000000002E-2</v>
      </c>
      <c r="Q87" s="9">
        <v>8.8999999999999999E-3</v>
      </c>
      <c r="R87" s="9">
        <v>6.4424999999999999</v>
      </c>
      <c r="S87" s="9">
        <v>5.3917000000000002</v>
      </c>
      <c r="T87" s="9">
        <v>7.4931999999999999</v>
      </c>
      <c r="U87" s="9">
        <v>0.75690000000000002</v>
      </c>
      <c r="V87" s="9">
        <v>-0.27489999999999998</v>
      </c>
      <c r="W87" s="9">
        <v>-0.93220000000000003</v>
      </c>
      <c r="X87" s="9">
        <v>0.38229999999999997</v>
      </c>
      <c r="Y87" s="9">
        <v>0.47339999999999999</v>
      </c>
      <c r="Z87" s="9"/>
      <c r="AA87" s="9"/>
      <c r="AB87" s="9"/>
      <c r="AC87" s="9"/>
      <c r="AD87" s="8"/>
      <c r="AE87" s="8"/>
      <c r="AF87" s="8"/>
      <c r="AG87" s="8"/>
    </row>
    <row r="88" spans="1:33" x14ac:dyDescent="0.25">
      <c r="A88" s="8" t="s">
        <v>83</v>
      </c>
      <c r="B88" s="8" t="s">
        <v>163</v>
      </c>
      <c r="C88" s="8" t="s">
        <v>131</v>
      </c>
      <c r="D88" s="8" t="s">
        <v>91</v>
      </c>
      <c r="E88" s="8">
        <v>5</v>
      </c>
      <c r="F88" s="9">
        <v>7.1199999999999999E-2</v>
      </c>
      <c r="G88" s="9">
        <v>6.2899999999999998E-2</v>
      </c>
      <c r="H88" s="9">
        <v>7.9500000000000001E-2</v>
      </c>
      <c r="I88" s="9">
        <v>6.0000000000000001E-3</v>
      </c>
      <c r="J88" s="9">
        <v>8.3999999999999995E-3</v>
      </c>
      <c r="K88" s="9">
        <v>6.4999999999999997E-3</v>
      </c>
      <c r="L88" s="9">
        <v>1.0200000000000001E-2</v>
      </c>
      <c r="M88" s="9">
        <v>1.2999999999999999E-3</v>
      </c>
      <c r="N88" s="9">
        <v>9.1200000000000003E-2</v>
      </c>
      <c r="O88" s="9">
        <v>8.1299999999999997E-2</v>
      </c>
      <c r="P88" s="9">
        <v>0.10100000000000001</v>
      </c>
      <c r="Q88" s="9">
        <v>7.1000000000000004E-3</v>
      </c>
      <c r="R88" s="9">
        <v>7.9804000000000004</v>
      </c>
      <c r="S88" s="9">
        <v>6.6391</v>
      </c>
      <c r="T88" s="9">
        <v>9.3216999999999999</v>
      </c>
      <c r="U88" s="9">
        <v>0.96619999999999995</v>
      </c>
      <c r="V88" s="9">
        <v>-0.55589999999999995</v>
      </c>
      <c r="W88" s="9">
        <v>-1.0898000000000001</v>
      </c>
      <c r="X88" s="9">
        <v>-2.1999999999999999E-2</v>
      </c>
      <c r="Y88" s="9">
        <v>0.3846</v>
      </c>
      <c r="Z88" s="9"/>
      <c r="AA88" s="9"/>
      <c r="AB88" s="9"/>
      <c r="AC88" s="9"/>
      <c r="AD88" s="8"/>
      <c r="AE88" s="8"/>
      <c r="AF88" s="8"/>
      <c r="AG88" s="8"/>
    </row>
    <row r="89" spans="1:33" x14ac:dyDescent="0.25">
      <c r="A89" s="8" t="s">
        <v>83</v>
      </c>
      <c r="B89" s="8" t="s">
        <v>163</v>
      </c>
      <c r="C89" s="8" t="s">
        <v>131</v>
      </c>
      <c r="D89" s="8" t="s">
        <v>92</v>
      </c>
      <c r="E89" s="8">
        <v>5</v>
      </c>
      <c r="F89" s="9">
        <v>6.9599999999999995E-2</v>
      </c>
      <c r="G89" s="9">
        <v>5.5199999999999999E-2</v>
      </c>
      <c r="H89" s="9">
        <v>8.4000000000000005E-2</v>
      </c>
      <c r="I89" s="9">
        <v>1.04E-2</v>
      </c>
      <c r="J89" s="9">
        <v>8.6E-3</v>
      </c>
      <c r="K89" s="9">
        <v>4.4000000000000003E-3</v>
      </c>
      <c r="L89" s="9">
        <v>1.29E-2</v>
      </c>
      <c r="M89" s="9">
        <v>3.0999999999999999E-3</v>
      </c>
      <c r="N89" s="9">
        <v>9.1399999999999995E-2</v>
      </c>
      <c r="O89" s="9">
        <v>6.8599999999999994E-2</v>
      </c>
      <c r="P89" s="9">
        <v>0.11409999999999999</v>
      </c>
      <c r="Q89" s="9">
        <v>1.6400000000000001E-2</v>
      </c>
      <c r="R89" s="9">
        <v>9.5038</v>
      </c>
      <c r="S89" s="9">
        <v>6.1006999999999998</v>
      </c>
      <c r="T89" s="9">
        <v>12.9069</v>
      </c>
      <c r="U89" s="9">
        <v>2.4514</v>
      </c>
      <c r="V89" s="9">
        <v>0.30530000000000002</v>
      </c>
      <c r="W89" s="9">
        <v>-5.33E-2</v>
      </c>
      <c r="X89" s="9">
        <v>0.66390000000000005</v>
      </c>
      <c r="Y89" s="9">
        <v>0.25829999999999997</v>
      </c>
      <c r="Z89" s="9"/>
      <c r="AA89" s="9"/>
      <c r="AB89" s="9"/>
      <c r="AC89" s="9"/>
      <c r="AD89" s="8"/>
      <c r="AE89" s="8"/>
      <c r="AF89" s="8"/>
      <c r="AG89" s="8"/>
    </row>
    <row r="90" spans="1:33" x14ac:dyDescent="0.25">
      <c r="A90" s="8" t="s">
        <v>83</v>
      </c>
      <c r="B90" s="8" t="s">
        <v>163</v>
      </c>
      <c r="C90" s="8" t="s">
        <v>131</v>
      </c>
      <c r="D90" s="8" t="s">
        <v>135</v>
      </c>
      <c r="E90" s="8">
        <v>5</v>
      </c>
      <c r="F90" s="9">
        <v>0.15859999999999999</v>
      </c>
      <c r="G90" s="9">
        <v>0.1123</v>
      </c>
      <c r="H90" s="9">
        <v>0.2049</v>
      </c>
      <c r="I90" s="9">
        <v>3.3300000000000003E-2</v>
      </c>
      <c r="J90" s="9">
        <v>4.7100000000000003E-2</v>
      </c>
      <c r="K90" s="9">
        <v>1.9300000000000001E-2</v>
      </c>
      <c r="L90" s="9">
        <v>7.4800000000000005E-2</v>
      </c>
      <c r="M90" s="9">
        <v>0.02</v>
      </c>
      <c r="N90" s="9">
        <v>0.21249999999999999</v>
      </c>
      <c r="O90" s="9">
        <v>0.1522</v>
      </c>
      <c r="P90" s="9">
        <v>0.27289999999999998</v>
      </c>
      <c r="Q90" s="9">
        <v>4.3400000000000001E-2</v>
      </c>
      <c r="R90" s="9">
        <v>24.800599999999999</v>
      </c>
      <c r="S90" s="9">
        <v>7.7275999999999998</v>
      </c>
      <c r="T90" s="9">
        <v>41.8735</v>
      </c>
      <c r="U90" s="9">
        <v>12.298400000000001</v>
      </c>
      <c r="V90" s="9">
        <v>-4.4699999999999997E-2</v>
      </c>
      <c r="W90" s="9">
        <v>-0.32240000000000002</v>
      </c>
      <c r="X90" s="9">
        <v>0.23300000000000001</v>
      </c>
      <c r="Y90" s="9">
        <v>0.2</v>
      </c>
      <c r="Z90" s="9"/>
      <c r="AA90" s="9"/>
      <c r="AB90" s="9"/>
      <c r="AC90" s="9"/>
      <c r="AD90" s="8"/>
      <c r="AE90" s="8"/>
      <c r="AF90" s="8"/>
      <c r="AG90" s="8"/>
    </row>
    <row r="91" spans="1:33" x14ac:dyDescent="0.25">
      <c r="A91" s="8" t="s">
        <v>83</v>
      </c>
      <c r="B91" s="8" t="s">
        <v>163</v>
      </c>
      <c r="C91" s="8" t="s">
        <v>131</v>
      </c>
      <c r="D91" s="8" t="s">
        <v>97</v>
      </c>
      <c r="E91" s="8">
        <v>5</v>
      </c>
      <c r="F91" s="9">
        <v>0.1234</v>
      </c>
      <c r="G91" s="9">
        <v>1.35E-2</v>
      </c>
      <c r="H91" s="9">
        <v>0.23319999999999999</v>
      </c>
      <c r="I91" s="9">
        <v>7.9100000000000004E-2</v>
      </c>
      <c r="J91" s="9">
        <v>3.49E-2</v>
      </c>
      <c r="K91" s="9">
        <v>-2.4400000000000002E-2</v>
      </c>
      <c r="L91" s="9">
        <v>9.4200000000000006E-2</v>
      </c>
      <c r="M91" s="9">
        <v>4.2700000000000002E-2</v>
      </c>
      <c r="N91" s="9">
        <v>0.15409999999999999</v>
      </c>
      <c r="O91" s="9">
        <v>7.4999999999999997E-3</v>
      </c>
      <c r="P91" s="9">
        <v>0.30080000000000001</v>
      </c>
      <c r="Q91" s="9">
        <v>0.1056</v>
      </c>
      <c r="R91" s="9">
        <v>35.255299999999998</v>
      </c>
      <c r="S91" s="9">
        <v>6.0773999999999999</v>
      </c>
      <c r="T91" s="9">
        <v>64.433199999999999</v>
      </c>
      <c r="U91" s="9">
        <v>21.0182</v>
      </c>
      <c r="V91" s="9">
        <v>-2417778625.2515001</v>
      </c>
      <c r="W91" s="9">
        <v>-8648758906.6341991</v>
      </c>
      <c r="X91" s="9">
        <v>3813201656.1311998</v>
      </c>
      <c r="Y91" s="9">
        <v>4488459195.3340998</v>
      </c>
      <c r="Z91" s="9"/>
      <c r="AA91" s="9"/>
      <c r="AB91" s="9"/>
      <c r="AC91" s="9"/>
      <c r="AD91" s="8"/>
      <c r="AE91" s="8"/>
      <c r="AF91" s="8"/>
      <c r="AG91" s="8"/>
    </row>
    <row r="92" spans="1:33" x14ac:dyDescent="0.25">
      <c r="A92" s="8" t="s">
        <v>83</v>
      </c>
      <c r="B92" s="8" t="s">
        <v>163</v>
      </c>
      <c r="C92" s="8" t="s">
        <v>132</v>
      </c>
      <c r="D92" s="8" t="s">
        <v>94</v>
      </c>
      <c r="E92" s="8">
        <v>5</v>
      </c>
      <c r="F92" s="9">
        <v>0.2137</v>
      </c>
      <c r="G92" s="9">
        <v>6.5600000000000006E-2</v>
      </c>
      <c r="H92" s="9">
        <v>0.36170000000000002</v>
      </c>
      <c r="I92" s="9">
        <v>0.1066</v>
      </c>
      <c r="J92" s="9">
        <v>0.22509999999999999</v>
      </c>
      <c r="K92" s="9">
        <v>5.2299999999999999E-2</v>
      </c>
      <c r="L92" s="9">
        <v>0.39800000000000002</v>
      </c>
      <c r="M92" s="9">
        <v>0.1245</v>
      </c>
      <c r="N92" s="9">
        <v>0.4516</v>
      </c>
      <c r="O92" s="9">
        <v>0.24970000000000001</v>
      </c>
      <c r="P92" s="9">
        <v>0.65349999999999997</v>
      </c>
      <c r="Q92" s="9">
        <v>0.1454</v>
      </c>
      <c r="R92" s="9">
        <v>52.75</v>
      </c>
      <c r="S92" s="9">
        <v>29.481400000000001</v>
      </c>
      <c r="T92" s="9">
        <v>76.018600000000006</v>
      </c>
      <c r="U92" s="9">
        <v>16.761399999999998</v>
      </c>
      <c r="V92" s="9">
        <v>0.10059999999999999</v>
      </c>
      <c r="W92" s="9">
        <v>-0.41560000000000002</v>
      </c>
      <c r="X92" s="9">
        <v>0.6169</v>
      </c>
      <c r="Y92" s="9">
        <v>0.37190000000000001</v>
      </c>
      <c r="Z92" s="9"/>
      <c r="AA92" s="9"/>
      <c r="AB92" s="9"/>
      <c r="AC92" s="9"/>
      <c r="AD92" s="8"/>
      <c r="AE92" s="8"/>
      <c r="AF92" s="8"/>
      <c r="AG92" s="8"/>
    </row>
    <row r="93" spans="1:33" x14ac:dyDescent="0.25">
      <c r="A93" s="8" t="s">
        <v>83</v>
      </c>
      <c r="B93" s="8" t="s">
        <v>163</v>
      </c>
      <c r="C93" s="8" t="s">
        <v>132</v>
      </c>
      <c r="D93" s="8" t="s">
        <v>93</v>
      </c>
      <c r="E93" s="8">
        <v>5</v>
      </c>
      <c r="F93" s="9">
        <v>2.69E-2</v>
      </c>
      <c r="G93" s="9">
        <v>1.9599999999999999E-2</v>
      </c>
      <c r="H93" s="9">
        <v>3.4099999999999998E-2</v>
      </c>
      <c r="I93" s="9">
        <v>5.1999999999999998E-3</v>
      </c>
      <c r="J93" s="9">
        <v>2.5000000000000001E-3</v>
      </c>
      <c r="K93" s="9">
        <v>2.0000000000000001E-4</v>
      </c>
      <c r="L93" s="9">
        <v>4.7999999999999996E-3</v>
      </c>
      <c r="M93" s="9">
        <v>1.6000000000000001E-3</v>
      </c>
      <c r="N93" s="9">
        <v>4.8000000000000001E-2</v>
      </c>
      <c r="O93" s="9">
        <v>2.8199999999999999E-2</v>
      </c>
      <c r="P93" s="9">
        <v>6.7900000000000002E-2</v>
      </c>
      <c r="Q93" s="9">
        <v>1.43E-2</v>
      </c>
      <c r="R93" s="9">
        <v>71.055400000000006</v>
      </c>
      <c r="S93" s="9">
        <v>51.5593</v>
      </c>
      <c r="T93" s="9">
        <v>90.551500000000004</v>
      </c>
      <c r="U93" s="9">
        <v>14.043900000000001</v>
      </c>
      <c r="V93" s="9">
        <v>0.4778</v>
      </c>
      <c r="W93" s="9">
        <v>0.25369999999999998</v>
      </c>
      <c r="X93" s="9">
        <v>0.70189999999999997</v>
      </c>
      <c r="Y93" s="9">
        <v>0.16139999999999999</v>
      </c>
      <c r="Z93" s="9"/>
      <c r="AA93" s="9"/>
      <c r="AB93" s="9"/>
      <c r="AC93" s="9"/>
      <c r="AD93" s="8"/>
      <c r="AE93" s="8"/>
      <c r="AF93" s="8"/>
      <c r="AG93" s="8"/>
    </row>
    <row r="94" spans="1:33" x14ac:dyDescent="0.25">
      <c r="A94" s="8" t="s">
        <v>83</v>
      </c>
      <c r="B94" s="8" t="s">
        <v>163</v>
      </c>
      <c r="C94" s="8" t="s">
        <v>132</v>
      </c>
      <c r="D94" s="8" t="s">
        <v>96</v>
      </c>
      <c r="E94" s="8">
        <v>5</v>
      </c>
      <c r="F94" s="9">
        <v>0.12280000000000001</v>
      </c>
      <c r="G94" s="9">
        <v>0.105</v>
      </c>
      <c r="H94" s="9">
        <v>0.14069999999999999</v>
      </c>
      <c r="I94" s="9">
        <v>1.29E-2</v>
      </c>
      <c r="J94" s="9">
        <v>2.3699999999999999E-2</v>
      </c>
      <c r="K94" s="9">
        <v>1.67E-2</v>
      </c>
      <c r="L94" s="9">
        <v>3.0700000000000002E-2</v>
      </c>
      <c r="M94" s="9">
        <v>5.1000000000000004E-3</v>
      </c>
      <c r="N94" s="9">
        <v>0.15310000000000001</v>
      </c>
      <c r="O94" s="9">
        <v>0.12959999999999999</v>
      </c>
      <c r="P94" s="9">
        <v>0.17649999999999999</v>
      </c>
      <c r="Q94" s="9">
        <v>1.6899999999999998E-2</v>
      </c>
      <c r="R94" s="9">
        <v>34.198999999999998</v>
      </c>
      <c r="S94" s="9">
        <v>17.667000000000002</v>
      </c>
      <c r="T94" s="9">
        <v>50.731099999999998</v>
      </c>
      <c r="U94" s="9">
        <v>11.908799999999999</v>
      </c>
      <c r="V94" s="9">
        <v>0.3826</v>
      </c>
      <c r="W94" s="9">
        <v>6.6600000000000006E-2</v>
      </c>
      <c r="X94" s="9">
        <v>0.6986</v>
      </c>
      <c r="Y94" s="9">
        <v>0.2276</v>
      </c>
      <c r="Z94" s="9"/>
      <c r="AA94" s="9"/>
      <c r="AB94" s="9"/>
      <c r="AC94" s="9"/>
      <c r="AD94" s="8"/>
      <c r="AE94" s="8"/>
      <c r="AF94" s="8"/>
      <c r="AG94" s="8"/>
    </row>
    <row r="95" spans="1:33" x14ac:dyDescent="0.25">
      <c r="A95" s="8" t="s">
        <v>83</v>
      </c>
      <c r="B95" s="8" t="s">
        <v>163</v>
      </c>
      <c r="C95" s="8" t="s">
        <v>132</v>
      </c>
      <c r="D95" s="8" t="s">
        <v>98</v>
      </c>
      <c r="E95" s="8">
        <v>5</v>
      </c>
      <c r="F95" s="9">
        <v>0.20449999999999999</v>
      </c>
      <c r="G95" s="9">
        <v>3.5799999999999998E-2</v>
      </c>
      <c r="H95" s="9">
        <v>0.37319999999999998</v>
      </c>
      <c r="I95" s="9">
        <v>0.1215</v>
      </c>
      <c r="J95" s="9">
        <v>0.2918</v>
      </c>
      <c r="K95" s="9">
        <v>-4.6399999999999997E-2</v>
      </c>
      <c r="L95" s="9">
        <v>0.63009999999999999</v>
      </c>
      <c r="M95" s="9">
        <v>0.2437</v>
      </c>
      <c r="N95" s="9">
        <v>0.49669999999999997</v>
      </c>
      <c r="O95" s="9">
        <v>0.2016</v>
      </c>
      <c r="P95" s="9">
        <v>0.79169999999999996</v>
      </c>
      <c r="Q95" s="9">
        <v>0.21249999999999999</v>
      </c>
      <c r="R95" s="9">
        <v>95</v>
      </c>
      <c r="S95" s="9">
        <v>81.117800000000003</v>
      </c>
      <c r="T95" s="9">
        <v>108.8822</v>
      </c>
      <c r="U95" s="9">
        <v>10</v>
      </c>
      <c r="V95" s="9">
        <v>-0.18509999999999999</v>
      </c>
      <c r="W95" s="9">
        <v>-0.46510000000000001</v>
      </c>
      <c r="X95" s="9">
        <v>9.4799999999999995E-2</v>
      </c>
      <c r="Y95" s="9">
        <v>0.20169999999999999</v>
      </c>
      <c r="Z95" s="9"/>
      <c r="AA95" s="9"/>
      <c r="AB95" s="9"/>
      <c r="AC95" s="9"/>
      <c r="AD95" s="8"/>
      <c r="AE95" s="8"/>
      <c r="AF95" s="8"/>
      <c r="AG95" s="8"/>
    </row>
    <row r="96" spans="1:33" x14ac:dyDescent="0.25">
      <c r="A96" s="8" t="s">
        <v>83</v>
      </c>
      <c r="B96" s="8" t="s">
        <v>163</v>
      </c>
      <c r="C96" s="8" t="s">
        <v>132</v>
      </c>
      <c r="D96" s="8" t="s">
        <v>95</v>
      </c>
      <c r="E96" s="8">
        <v>5</v>
      </c>
      <c r="F96" s="9">
        <v>5.3199999999999997E-2</v>
      </c>
      <c r="G96" s="9">
        <v>4.1599999999999998E-2</v>
      </c>
      <c r="H96" s="9">
        <v>6.4699999999999994E-2</v>
      </c>
      <c r="I96" s="9">
        <v>8.3000000000000001E-3</v>
      </c>
      <c r="J96" s="9">
        <v>5.1999999999999998E-3</v>
      </c>
      <c r="K96" s="9">
        <v>3.3E-3</v>
      </c>
      <c r="L96" s="9">
        <v>7.1000000000000004E-3</v>
      </c>
      <c r="M96" s="9">
        <v>1.4E-3</v>
      </c>
      <c r="N96" s="9">
        <v>7.17E-2</v>
      </c>
      <c r="O96" s="9">
        <v>5.7799999999999997E-2</v>
      </c>
      <c r="P96" s="9">
        <v>8.5500000000000007E-2</v>
      </c>
      <c r="Q96" s="9">
        <v>0.01</v>
      </c>
      <c r="R96" s="9">
        <v>6.1077000000000004</v>
      </c>
      <c r="S96" s="9">
        <v>4.6630000000000003</v>
      </c>
      <c r="T96" s="9">
        <v>7.5523999999999996</v>
      </c>
      <c r="U96" s="9">
        <v>1.0407</v>
      </c>
      <c r="V96" s="9">
        <v>-4.41E-2</v>
      </c>
      <c r="W96" s="9">
        <v>-0.36359999999999998</v>
      </c>
      <c r="X96" s="9">
        <v>0.27539999999999998</v>
      </c>
      <c r="Y96" s="9">
        <v>0.2301</v>
      </c>
      <c r="Z96" s="9"/>
      <c r="AA96" s="9"/>
      <c r="AB96" s="9"/>
      <c r="AC96" s="9"/>
      <c r="AD96" s="8"/>
      <c r="AE96" s="8"/>
      <c r="AF96" s="8"/>
      <c r="AG96" s="8"/>
    </row>
    <row r="97" spans="1:33" x14ac:dyDescent="0.25">
      <c r="A97" s="8" t="s">
        <v>83</v>
      </c>
      <c r="B97" s="8" t="s">
        <v>163</v>
      </c>
      <c r="C97" s="8" t="s">
        <v>132</v>
      </c>
      <c r="D97" s="8" t="s">
        <v>91</v>
      </c>
      <c r="E97" s="8">
        <v>5</v>
      </c>
      <c r="F97" s="9">
        <v>5.91E-2</v>
      </c>
      <c r="G97" s="9">
        <v>4.8800000000000003E-2</v>
      </c>
      <c r="H97" s="9">
        <v>6.93E-2</v>
      </c>
      <c r="I97" s="9">
        <v>7.4000000000000003E-3</v>
      </c>
      <c r="J97" s="9">
        <v>6.1999999999999998E-3</v>
      </c>
      <c r="K97" s="9">
        <v>3.7000000000000002E-3</v>
      </c>
      <c r="L97" s="9">
        <v>8.8000000000000005E-3</v>
      </c>
      <c r="M97" s="9">
        <v>1.8E-3</v>
      </c>
      <c r="N97" s="9">
        <v>7.7899999999999997E-2</v>
      </c>
      <c r="O97" s="9">
        <v>6.0999999999999999E-2</v>
      </c>
      <c r="P97" s="9">
        <v>9.4799999999999995E-2</v>
      </c>
      <c r="Q97" s="9">
        <v>1.2200000000000001E-2</v>
      </c>
      <c r="R97" s="9">
        <v>6.7737999999999996</v>
      </c>
      <c r="S97" s="9">
        <v>5.1817000000000002</v>
      </c>
      <c r="T97" s="9">
        <v>8.3659999999999997</v>
      </c>
      <c r="U97" s="9">
        <v>1.1469</v>
      </c>
      <c r="V97" s="9">
        <v>-8.9300000000000004E-2</v>
      </c>
      <c r="W97" s="9">
        <v>-0.28210000000000002</v>
      </c>
      <c r="X97" s="9">
        <v>0.1036</v>
      </c>
      <c r="Y97" s="9">
        <v>0.1389</v>
      </c>
      <c r="Z97" s="9"/>
      <c r="AA97" s="9"/>
      <c r="AB97" s="9"/>
      <c r="AC97" s="9"/>
      <c r="AD97" s="8"/>
      <c r="AE97" s="8"/>
      <c r="AF97" s="8"/>
      <c r="AG97" s="8"/>
    </row>
    <row r="98" spans="1:33" x14ac:dyDescent="0.25">
      <c r="A98" s="8" t="s">
        <v>83</v>
      </c>
      <c r="B98" s="8" t="s">
        <v>163</v>
      </c>
      <c r="C98" s="8" t="s">
        <v>132</v>
      </c>
      <c r="D98" s="8" t="s">
        <v>92</v>
      </c>
      <c r="E98" s="8">
        <v>5</v>
      </c>
      <c r="F98" s="9">
        <v>6.2399999999999997E-2</v>
      </c>
      <c r="G98" s="9">
        <v>4.8800000000000003E-2</v>
      </c>
      <c r="H98" s="9">
        <v>7.6100000000000001E-2</v>
      </c>
      <c r="I98" s="9">
        <v>9.7999999999999997E-3</v>
      </c>
      <c r="J98" s="9">
        <v>7.1999999999999998E-3</v>
      </c>
      <c r="K98" s="9">
        <v>2.8999999999999998E-3</v>
      </c>
      <c r="L98" s="9">
        <v>1.14E-2</v>
      </c>
      <c r="M98" s="9">
        <v>3.0999999999999999E-3</v>
      </c>
      <c r="N98" s="9">
        <v>8.2799999999999999E-2</v>
      </c>
      <c r="O98" s="9">
        <v>5.8299999999999998E-2</v>
      </c>
      <c r="P98" s="9">
        <v>0.1074</v>
      </c>
      <c r="Q98" s="9">
        <v>1.77E-2</v>
      </c>
      <c r="R98" s="9">
        <v>8.4208999999999996</v>
      </c>
      <c r="S98" s="9">
        <v>5.2770000000000001</v>
      </c>
      <c r="T98" s="9">
        <v>11.5648</v>
      </c>
      <c r="U98" s="9">
        <v>2.2646999999999999</v>
      </c>
      <c r="V98" s="9">
        <v>0.44500000000000001</v>
      </c>
      <c r="W98" s="9">
        <v>0.20380000000000001</v>
      </c>
      <c r="X98" s="9">
        <v>0.68610000000000004</v>
      </c>
      <c r="Y98" s="9">
        <v>0.17369999999999999</v>
      </c>
      <c r="Z98" s="9"/>
      <c r="AA98" s="9"/>
      <c r="AB98" s="9"/>
      <c r="AC98" s="9"/>
      <c r="AD98" s="8"/>
      <c r="AE98" s="8"/>
      <c r="AF98" s="8"/>
      <c r="AG98" s="8"/>
    </row>
    <row r="99" spans="1:33" x14ac:dyDescent="0.25">
      <c r="A99" s="8" t="s">
        <v>83</v>
      </c>
      <c r="B99" s="8" t="s">
        <v>163</v>
      </c>
      <c r="C99" s="8" t="s">
        <v>132</v>
      </c>
      <c r="D99" s="8" t="s">
        <v>135</v>
      </c>
      <c r="E99" s="8">
        <v>5</v>
      </c>
      <c r="F99" s="9">
        <v>0.15</v>
      </c>
      <c r="G99" s="9">
        <v>0.10580000000000001</v>
      </c>
      <c r="H99" s="9">
        <v>0.19409999999999999</v>
      </c>
      <c r="I99" s="9">
        <v>3.1800000000000002E-2</v>
      </c>
      <c r="J99" s="9">
        <v>3.39E-2</v>
      </c>
      <c r="K99" s="9">
        <v>1.1900000000000001E-2</v>
      </c>
      <c r="L99" s="9">
        <v>5.5899999999999998E-2</v>
      </c>
      <c r="M99" s="9">
        <v>1.5800000000000002E-2</v>
      </c>
      <c r="N99" s="9">
        <v>0.17979999999999999</v>
      </c>
      <c r="O99" s="9">
        <v>0.1246</v>
      </c>
      <c r="P99" s="9">
        <v>0.23499999999999999</v>
      </c>
      <c r="Q99" s="9">
        <v>3.9800000000000002E-2</v>
      </c>
      <c r="R99" s="9">
        <v>22.761500000000002</v>
      </c>
      <c r="S99" s="9">
        <v>8.2866</v>
      </c>
      <c r="T99" s="9">
        <v>37.236499999999999</v>
      </c>
      <c r="U99" s="9">
        <v>10.427</v>
      </c>
      <c r="V99" s="9">
        <v>0.249</v>
      </c>
      <c r="W99" s="9">
        <v>1.8800000000000001E-2</v>
      </c>
      <c r="X99" s="9">
        <v>0.47920000000000001</v>
      </c>
      <c r="Y99" s="9">
        <v>0.1658</v>
      </c>
      <c r="Z99" s="9"/>
      <c r="AA99" s="9"/>
      <c r="AB99" s="9"/>
      <c r="AC99" s="9"/>
      <c r="AD99" s="8"/>
      <c r="AE99" s="8"/>
      <c r="AF99" s="8"/>
      <c r="AG99" s="8"/>
    </row>
    <row r="100" spans="1:33" x14ac:dyDescent="0.25">
      <c r="A100" s="8" t="s">
        <v>83</v>
      </c>
      <c r="B100" s="8" t="s">
        <v>163</v>
      </c>
      <c r="C100" s="8" t="s">
        <v>132</v>
      </c>
      <c r="D100" s="8" t="s">
        <v>97</v>
      </c>
      <c r="E100" s="8">
        <v>5</v>
      </c>
      <c r="F100" s="9">
        <v>0.14180000000000001</v>
      </c>
      <c r="G100" s="9">
        <v>3.3099999999999997E-2</v>
      </c>
      <c r="H100" s="9">
        <v>0.25059999999999999</v>
      </c>
      <c r="I100" s="9">
        <v>7.8299999999999995E-2</v>
      </c>
      <c r="J100" s="9">
        <v>3.6600000000000001E-2</v>
      </c>
      <c r="K100" s="9">
        <v>-2.75E-2</v>
      </c>
      <c r="L100" s="9">
        <v>0.1007</v>
      </c>
      <c r="M100" s="9">
        <v>4.6199999999999998E-2</v>
      </c>
      <c r="N100" s="9">
        <v>0.1638</v>
      </c>
      <c r="O100" s="9">
        <v>2.6800000000000001E-2</v>
      </c>
      <c r="P100" s="9">
        <v>0.3009</v>
      </c>
      <c r="Q100" s="9">
        <v>9.8699999999999996E-2</v>
      </c>
      <c r="R100" s="9">
        <v>41.759599999999999</v>
      </c>
      <c r="S100" s="9">
        <v>10.117100000000001</v>
      </c>
      <c r="T100" s="9">
        <v>73.402100000000004</v>
      </c>
      <c r="U100" s="9">
        <v>22.793500000000002</v>
      </c>
      <c r="V100" s="9">
        <v>-4642983936.5588999</v>
      </c>
      <c r="W100" s="9">
        <v>-12979750164.696301</v>
      </c>
      <c r="X100" s="9">
        <v>3693782291.5784998</v>
      </c>
      <c r="Y100" s="9">
        <v>6005352825.1145</v>
      </c>
      <c r="Z100" s="9"/>
      <c r="AA100" s="9"/>
      <c r="AB100" s="9"/>
      <c r="AC100" s="9"/>
      <c r="AD100" s="8"/>
      <c r="AE100" s="8"/>
      <c r="AF100" s="8"/>
      <c r="AG100" s="8"/>
    </row>
    <row r="101" spans="1:33" x14ac:dyDescent="0.25">
      <c r="A101" s="8" t="s">
        <v>83</v>
      </c>
      <c r="B101" s="8" t="s">
        <v>163</v>
      </c>
      <c r="C101" s="8" t="s">
        <v>133</v>
      </c>
      <c r="D101" s="8" t="s">
        <v>94</v>
      </c>
      <c r="E101" s="8">
        <v>5</v>
      </c>
      <c r="F101" s="9">
        <v>0.37380000000000002</v>
      </c>
      <c r="G101" s="9">
        <v>0.2122</v>
      </c>
      <c r="H101" s="9">
        <v>0.53539999999999999</v>
      </c>
      <c r="I101" s="9">
        <v>0.1164</v>
      </c>
      <c r="J101" s="9">
        <v>0.38519999999999999</v>
      </c>
      <c r="K101" s="9">
        <v>0.1993</v>
      </c>
      <c r="L101" s="9">
        <v>0.57110000000000005</v>
      </c>
      <c r="M101" s="9">
        <v>0.13389999999999999</v>
      </c>
      <c r="N101" s="9">
        <v>0.61119999999999997</v>
      </c>
      <c r="O101" s="9">
        <v>0.4612</v>
      </c>
      <c r="P101" s="9">
        <v>0.76119999999999999</v>
      </c>
      <c r="Q101" s="9">
        <v>0.108</v>
      </c>
      <c r="R101" s="9">
        <v>100</v>
      </c>
      <c r="S101" s="9"/>
      <c r="T101" s="9"/>
      <c r="U101" s="9">
        <v>0</v>
      </c>
      <c r="V101" s="9">
        <v>-0.61209999999999998</v>
      </c>
      <c r="W101" s="9">
        <v>-0.96970000000000001</v>
      </c>
      <c r="X101" s="9">
        <v>-0.25440000000000002</v>
      </c>
      <c r="Y101" s="9">
        <v>0.2576</v>
      </c>
      <c r="Z101" s="9"/>
      <c r="AA101" s="9"/>
      <c r="AB101" s="9"/>
      <c r="AC101" s="9"/>
      <c r="AD101" s="8"/>
      <c r="AE101" s="8"/>
      <c r="AF101" s="8"/>
      <c r="AG101" s="8"/>
    </row>
    <row r="102" spans="1:33" x14ac:dyDescent="0.25">
      <c r="A102" s="8" t="s">
        <v>83</v>
      </c>
      <c r="B102" s="8" t="s">
        <v>163</v>
      </c>
      <c r="C102" s="8" t="s">
        <v>133</v>
      </c>
      <c r="D102" s="8" t="s">
        <v>93</v>
      </c>
      <c r="E102" s="8">
        <v>5</v>
      </c>
      <c r="F102" s="9">
        <v>4.87E-2</v>
      </c>
      <c r="G102" s="9">
        <v>4.1399999999999999E-2</v>
      </c>
      <c r="H102" s="9">
        <v>5.6000000000000001E-2</v>
      </c>
      <c r="I102" s="9">
        <v>5.3E-3</v>
      </c>
      <c r="J102" s="9">
        <v>4.4999999999999997E-3</v>
      </c>
      <c r="K102" s="9">
        <v>2.5000000000000001E-3</v>
      </c>
      <c r="L102" s="9">
        <v>6.6E-3</v>
      </c>
      <c r="M102" s="9">
        <v>1.5E-3</v>
      </c>
      <c r="N102" s="9">
        <v>6.6500000000000004E-2</v>
      </c>
      <c r="O102" s="9">
        <v>5.2299999999999999E-2</v>
      </c>
      <c r="P102" s="9">
        <v>8.0699999999999994E-2</v>
      </c>
      <c r="Q102" s="9">
        <v>1.0200000000000001E-2</v>
      </c>
      <c r="R102" s="9">
        <v>54.399799999999999</v>
      </c>
      <c r="S102" s="9">
        <v>48.362400000000001</v>
      </c>
      <c r="T102" s="9">
        <v>60.437100000000001</v>
      </c>
      <c r="U102" s="9">
        <v>4.3490000000000002</v>
      </c>
      <c r="V102" s="9">
        <v>-9.7999999999999997E-3</v>
      </c>
      <c r="W102" s="9">
        <v>-2.3300000000000001E-2</v>
      </c>
      <c r="X102" s="9">
        <v>3.5999999999999999E-3</v>
      </c>
      <c r="Y102" s="9">
        <v>9.7000000000000003E-3</v>
      </c>
      <c r="Z102" s="9"/>
      <c r="AA102" s="9"/>
      <c r="AB102" s="9"/>
      <c r="AC102" s="9"/>
      <c r="AD102" s="8"/>
      <c r="AE102" s="8"/>
      <c r="AF102" s="8"/>
      <c r="AG102" s="8"/>
    </row>
    <row r="103" spans="1:33" x14ac:dyDescent="0.25">
      <c r="A103" s="8" t="s">
        <v>83</v>
      </c>
      <c r="B103" s="8" t="s">
        <v>163</v>
      </c>
      <c r="C103" s="8" t="s">
        <v>133</v>
      </c>
      <c r="D103" s="8" t="s">
        <v>96</v>
      </c>
      <c r="E103" s="8">
        <v>5</v>
      </c>
      <c r="F103" s="9">
        <v>0.1615</v>
      </c>
      <c r="G103" s="9">
        <v>0.12620000000000001</v>
      </c>
      <c r="H103" s="9">
        <v>0.1968</v>
      </c>
      <c r="I103" s="9">
        <v>2.5399999999999999E-2</v>
      </c>
      <c r="J103" s="9">
        <v>4.2900000000000001E-2</v>
      </c>
      <c r="K103" s="9">
        <v>2.41E-2</v>
      </c>
      <c r="L103" s="9">
        <v>6.1699999999999998E-2</v>
      </c>
      <c r="M103" s="9">
        <v>1.3599999999999999E-2</v>
      </c>
      <c r="N103" s="9">
        <v>0.20430000000000001</v>
      </c>
      <c r="O103" s="9">
        <v>0.15670000000000001</v>
      </c>
      <c r="P103" s="9">
        <v>0.25190000000000001</v>
      </c>
      <c r="Q103" s="9">
        <v>3.4299999999999997E-2</v>
      </c>
      <c r="R103" s="9">
        <v>47.752600000000001</v>
      </c>
      <c r="S103" s="9">
        <v>24.704899999999999</v>
      </c>
      <c r="T103" s="9">
        <v>70.800200000000004</v>
      </c>
      <c r="U103" s="9">
        <v>16.6023</v>
      </c>
      <c r="V103" s="9">
        <v>-1.9900000000000001E-2</v>
      </c>
      <c r="W103" s="9">
        <v>-4.1599999999999998E-2</v>
      </c>
      <c r="X103" s="9">
        <v>1.8E-3</v>
      </c>
      <c r="Y103" s="9">
        <v>1.5599999999999999E-2</v>
      </c>
      <c r="Z103" s="9"/>
      <c r="AA103" s="9"/>
      <c r="AB103" s="9"/>
      <c r="AC103" s="9"/>
      <c r="AD103" s="8"/>
      <c r="AE103" s="8"/>
      <c r="AF103" s="8"/>
      <c r="AG103" s="8"/>
    </row>
    <row r="104" spans="1:33" x14ac:dyDescent="0.25">
      <c r="A104" s="8" t="s">
        <v>83</v>
      </c>
      <c r="B104" s="8" t="s">
        <v>163</v>
      </c>
      <c r="C104" s="8" t="s">
        <v>133</v>
      </c>
      <c r="D104" s="8" t="s">
        <v>98</v>
      </c>
      <c r="E104" s="8">
        <v>5</v>
      </c>
      <c r="F104" s="9">
        <v>0.20449999999999999</v>
      </c>
      <c r="G104" s="9">
        <v>3.9199999999999999E-2</v>
      </c>
      <c r="H104" s="9">
        <v>0.36980000000000002</v>
      </c>
      <c r="I104" s="9">
        <v>0.1191</v>
      </c>
      <c r="J104" s="9">
        <v>0.2918</v>
      </c>
      <c r="K104" s="9">
        <v>-4.48E-2</v>
      </c>
      <c r="L104" s="9">
        <v>0.62839999999999996</v>
      </c>
      <c r="M104" s="9">
        <v>0.24249999999999999</v>
      </c>
      <c r="N104" s="9">
        <v>0.49790000000000001</v>
      </c>
      <c r="O104" s="9">
        <v>0.20699999999999999</v>
      </c>
      <c r="P104" s="9">
        <v>0.78879999999999995</v>
      </c>
      <c r="Q104" s="9">
        <v>0.20960000000000001</v>
      </c>
      <c r="R104" s="9">
        <v>100</v>
      </c>
      <c r="S104" s="9"/>
      <c r="T104" s="9"/>
      <c r="U104" s="9">
        <v>0</v>
      </c>
      <c r="V104" s="9">
        <v>-0.18509999999999999</v>
      </c>
      <c r="W104" s="9">
        <v>-0.29039999999999999</v>
      </c>
      <c r="X104" s="9">
        <v>-7.9799999999999996E-2</v>
      </c>
      <c r="Y104" s="9">
        <v>7.5800000000000006E-2</v>
      </c>
      <c r="Z104" s="9"/>
      <c r="AA104" s="9"/>
      <c r="AB104" s="9"/>
      <c r="AC104" s="9"/>
      <c r="AD104" s="8"/>
      <c r="AE104" s="8"/>
      <c r="AF104" s="8"/>
      <c r="AG104" s="8"/>
    </row>
    <row r="105" spans="1:33" x14ac:dyDescent="0.25">
      <c r="A105" s="8" t="s">
        <v>83</v>
      </c>
      <c r="B105" s="8" t="s">
        <v>163</v>
      </c>
      <c r="C105" s="8" t="s">
        <v>133</v>
      </c>
      <c r="D105" s="8" t="s">
        <v>95</v>
      </c>
      <c r="E105" s="8">
        <v>5</v>
      </c>
      <c r="F105" s="9">
        <v>5.4899999999999997E-2</v>
      </c>
      <c r="G105" s="9">
        <v>4.3999999999999997E-2</v>
      </c>
      <c r="H105" s="9">
        <v>6.59E-2</v>
      </c>
      <c r="I105" s="9">
        <v>7.9000000000000008E-3</v>
      </c>
      <c r="J105" s="9">
        <v>5.5999999999999999E-3</v>
      </c>
      <c r="K105" s="9">
        <v>2.3999999999999998E-3</v>
      </c>
      <c r="L105" s="9">
        <v>8.6999999999999994E-3</v>
      </c>
      <c r="M105" s="9">
        <v>2.2000000000000001E-3</v>
      </c>
      <c r="N105" s="9">
        <v>7.3200000000000001E-2</v>
      </c>
      <c r="O105" s="9">
        <v>5.2699999999999997E-2</v>
      </c>
      <c r="P105" s="9">
        <v>9.3700000000000006E-2</v>
      </c>
      <c r="Q105" s="9">
        <v>1.4800000000000001E-2</v>
      </c>
      <c r="R105" s="9">
        <v>6.3483000000000001</v>
      </c>
      <c r="S105" s="9">
        <v>4.8048000000000002</v>
      </c>
      <c r="T105" s="9">
        <v>7.8917000000000002</v>
      </c>
      <c r="U105" s="9">
        <v>1.1117999999999999</v>
      </c>
      <c r="V105" s="9">
        <v>-3.9800000000000002E-2</v>
      </c>
      <c r="W105" s="9">
        <v>-9.7900000000000001E-2</v>
      </c>
      <c r="X105" s="9">
        <v>1.8200000000000001E-2</v>
      </c>
      <c r="Y105" s="9">
        <v>4.1799999999999997E-2</v>
      </c>
      <c r="Z105" s="9"/>
      <c r="AA105" s="9"/>
      <c r="AB105" s="9"/>
      <c r="AC105" s="9"/>
      <c r="AD105" s="8"/>
      <c r="AE105" s="8"/>
      <c r="AF105" s="8"/>
      <c r="AG105" s="8"/>
    </row>
    <row r="106" spans="1:33" x14ac:dyDescent="0.25">
      <c r="A106" s="8" t="s">
        <v>83</v>
      </c>
      <c r="B106" s="8" t="s">
        <v>163</v>
      </c>
      <c r="C106" s="8" t="s">
        <v>133</v>
      </c>
      <c r="D106" s="8" t="s">
        <v>91</v>
      </c>
      <c r="E106" s="8">
        <v>5</v>
      </c>
      <c r="F106" s="9">
        <v>5.8299999999999998E-2</v>
      </c>
      <c r="G106" s="9">
        <v>5.0299999999999997E-2</v>
      </c>
      <c r="H106" s="9">
        <v>6.6299999999999998E-2</v>
      </c>
      <c r="I106" s="9">
        <v>5.7000000000000002E-3</v>
      </c>
      <c r="J106" s="9">
        <v>6.1999999999999998E-3</v>
      </c>
      <c r="K106" s="9">
        <v>3.3999999999999998E-3</v>
      </c>
      <c r="L106" s="9">
        <v>8.9999999999999993E-3</v>
      </c>
      <c r="M106" s="9">
        <v>2E-3</v>
      </c>
      <c r="N106" s="9">
        <v>7.7700000000000005E-2</v>
      </c>
      <c r="O106" s="9">
        <v>6.0400000000000002E-2</v>
      </c>
      <c r="P106" s="9">
        <v>9.5000000000000001E-2</v>
      </c>
      <c r="Q106" s="9">
        <v>1.2500000000000001E-2</v>
      </c>
      <c r="R106" s="9">
        <v>6.7614000000000001</v>
      </c>
      <c r="S106" s="9">
        <v>5.3502999999999998</v>
      </c>
      <c r="T106" s="9">
        <v>8.1725999999999992</v>
      </c>
      <c r="U106" s="9">
        <v>1.0165</v>
      </c>
      <c r="V106" s="9">
        <v>-7.8200000000000006E-2</v>
      </c>
      <c r="W106" s="9">
        <v>-0.16370000000000001</v>
      </c>
      <c r="X106" s="9">
        <v>7.3000000000000001E-3</v>
      </c>
      <c r="Y106" s="9">
        <v>6.1600000000000002E-2</v>
      </c>
      <c r="Z106" s="9"/>
      <c r="AA106" s="9"/>
      <c r="AB106" s="9"/>
      <c r="AC106" s="9"/>
      <c r="AD106" s="8"/>
      <c r="AE106" s="8"/>
      <c r="AF106" s="8"/>
      <c r="AG106" s="8"/>
    </row>
    <row r="107" spans="1:33" x14ac:dyDescent="0.25">
      <c r="A107" s="8" t="s">
        <v>83</v>
      </c>
      <c r="B107" s="8" t="s">
        <v>163</v>
      </c>
      <c r="C107" s="8" t="s">
        <v>133</v>
      </c>
      <c r="D107" s="8" t="s">
        <v>92</v>
      </c>
      <c r="E107" s="8">
        <v>5</v>
      </c>
      <c r="F107" s="9">
        <v>9.1200000000000003E-2</v>
      </c>
      <c r="G107" s="9">
        <v>7.4200000000000002E-2</v>
      </c>
      <c r="H107" s="9">
        <v>0.10829999999999999</v>
      </c>
      <c r="I107" s="9">
        <v>1.23E-2</v>
      </c>
      <c r="J107" s="9">
        <v>1.41E-2</v>
      </c>
      <c r="K107" s="9">
        <v>5.5999999999999999E-3</v>
      </c>
      <c r="L107" s="9">
        <v>2.2599999999999999E-2</v>
      </c>
      <c r="M107" s="9">
        <v>6.1000000000000004E-3</v>
      </c>
      <c r="N107" s="9">
        <v>0.1163</v>
      </c>
      <c r="O107" s="9">
        <v>8.2900000000000001E-2</v>
      </c>
      <c r="P107" s="9">
        <v>0.1497</v>
      </c>
      <c r="Q107" s="9">
        <v>2.41E-2</v>
      </c>
      <c r="R107" s="9">
        <v>12.726100000000001</v>
      </c>
      <c r="S107" s="9">
        <v>7.9588999999999999</v>
      </c>
      <c r="T107" s="9">
        <v>17.493300000000001</v>
      </c>
      <c r="U107" s="9">
        <v>3.4340000000000002</v>
      </c>
      <c r="V107" s="9">
        <v>-4.8000000000000001E-2</v>
      </c>
      <c r="W107" s="9">
        <v>-8.4099999999999994E-2</v>
      </c>
      <c r="X107" s="9">
        <v>-1.18E-2</v>
      </c>
      <c r="Y107" s="9">
        <v>2.5999999999999999E-2</v>
      </c>
      <c r="Z107" s="9"/>
      <c r="AA107" s="9"/>
      <c r="AB107" s="9"/>
      <c r="AC107" s="9"/>
      <c r="AD107" s="8"/>
      <c r="AE107" s="8"/>
      <c r="AF107" s="8"/>
      <c r="AG107" s="8"/>
    </row>
    <row r="108" spans="1:33" x14ac:dyDescent="0.25">
      <c r="A108" s="8" t="s">
        <v>83</v>
      </c>
      <c r="B108" s="8" t="s">
        <v>163</v>
      </c>
      <c r="C108" s="8" t="s">
        <v>133</v>
      </c>
      <c r="D108" s="8" t="s">
        <v>135</v>
      </c>
      <c r="E108" s="8">
        <v>5</v>
      </c>
      <c r="F108" s="9">
        <v>0.18990000000000001</v>
      </c>
      <c r="G108" s="9">
        <v>0.1452</v>
      </c>
      <c r="H108" s="9">
        <v>0.23449999999999999</v>
      </c>
      <c r="I108" s="9">
        <v>3.2199999999999999E-2</v>
      </c>
      <c r="J108" s="9">
        <v>5.0200000000000002E-2</v>
      </c>
      <c r="K108" s="9">
        <v>1.8200000000000001E-2</v>
      </c>
      <c r="L108" s="9">
        <v>8.2199999999999995E-2</v>
      </c>
      <c r="M108" s="9">
        <v>2.3E-2</v>
      </c>
      <c r="N108" s="9">
        <v>0.21809999999999999</v>
      </c>
      <c r="O108" s="9">
        <v>0.14699999999999999</v>
      </c>
      <c r="P108" s="9">
        <v>0.28910000000000002</v>
      </c>
      <c r="Q108" s="9">
        <v>5.1200000000000002E-2</v>
      </c>
      <c r="R108" s="9">
        <v>28.488800000000001</v>
      </c>
      <c r="S108" s="9">
        <v>9.8888999999999996</v>
      </c>
      <c r="T108" s="9">
        <v>47.0886</v>
      </c>
      <c r="U108" s="9">
        <v>13.398300000000001</v>
      </c>
      <c r="V108" s="9">
        <v>-6.5299999999999997E-2</v>
      </c>
      <c r="W108" s="9">
        <v>-0.2175</v>
      </c>
      <c r="X108" s="9">
        <v>8.6999999999999994E-2</v>
      </c>
      <c r="Y108" s="9">
        <v>0.10970000000000001</v>
      </c>
      <c r="Z108" s="9"/>
      <c r="AA108" s="9"/>
      <c r="AB108" s="9"/>
      <c r="AC108" s="9"/>
      <c r="AD108" s="8"/>
      <c r="AE108" s="8"/>
      <c r="AF108" s="8"/>
      <c r="AG108" s="8"/>
    </row>
    <row r="109" spans="1:33" x14ac:dyDescent="0.25">
      <c r="A109" s="8" t="s">
        <v>83</v>
      </c>
      <c r="B109" s="8" t="s">
        <v>163</v>
      </c>
      <c r="C109" s="8" t="s">
        <v>133</v>
      </c>
      <c r="D109" s="8" t="s">
        <v>97</v>
      </c>
      <c r="E109" s="8">
        <v>5</v>
      </c>
      <c r="F109" s="9">
        <v>0.1356</v>
      </c>
      <c r="G109" s="9">
        <v>4.99E-2</v>
      </c>
      <c r="H109" s="9">
        <v>0.22140000000000001</v>
      </c>
      <c r="I109" s="9">
        <v>6.1699999999999998E-2</v>
      </c>
      <c r="J109" s="9">
        <v>3.3399999999999999E-2</v>
      </c>
      <c r="K109" s="9">
        <v>-2.0500000000000001E-2</v>
      </c>
      <c r="L109" s="9">
        <v>8.7300000000000003E-2</v>
      </c>
      <c r="M109" s="9">
        <v>3.8800000000000001E-2</v>
      </c>
      <c r="N109" s="9">
        <v>0.1593</v>
      </c>
      <c r="O109" s="9">
        <v>3.5099999999999999E-2</v>
      </c>
      <c r="P109" s="9">
        <v>0.28349999999999997</v>
      </c>
      <c r="Q109" s="9">
        <v>8.9499999999999996E-2</v>
      </c>
      <c r="R109" s="9">
        <v>40.166400000000003</v>
      </c>
      <c r="S109" s="9">
        <v>4.4016999999999999</v>
      </c>
      <c r="T109" s="9">
        <v>75.931100000000001</v>
      </c>
      <c r="U109" s="9">
        <v>25.762899999999998</v>
      </c>
      <c r="V109" s="9">
        <v>-4121617613.4348998</v>
      </c>
      <c r="W109" s="9">
        <v>-11954483408.1998</v>
      </c>
      <c r="X109" s="9">
        <v>3711248181.3301001</v>
      </c>
      <c r="Y109" s="9">
        <v>5642370367.8499002</v>
      </c>
      <c r="Z109" s="9"/>
      <c r="AA109" s="9"/>
      <c r="AB109" s="9"/>
      <c r="AC109" s="9"/>
      <c r="AD109" s="8"/>
      <c r="AE109" s="8"/>
      <c r="AF109" s="8"/>
      <c r="AG109" s="8"/>
    </row>
    <row r="110" spans="1:33" x14ac:dyDescent="0.25">
      <c r="A110" s="8" t="s">
        <v>83</v>
      </c>
      <c r="B110" s="8" t="s">
        <v>163</v>
      </c>
      <c r="C110" s="8" t="s">
        <v>134</v>
      </c>
      <c r="D110" s="8" t="s">
        <v>94</v>
      </c>
      <c r="E110" s="8">
        <v>5</v>
      </c>
      <c r="F110" s="9">
        <v>0.37380000000000002</v>
      </c>
      <c r="G110" s="9">
        <v>0.2122</v>
      </c>
      <c r="H110" s="9">
        <v>0.53539999999999999</v>
      </c>
      <c r="I110" s="9">
        <v>0.1164</v>
      </c>
      <c r="J110" s="9">
        <v>0.38519999999999999</v>
      </c>
      <c r="K110" s="9">
        <v>0.1993</v>
      </c>
      <c r="L110" s="9">
        <v>0.57110000000000005</v>
      </c>
      <c r="M110" s="9">
        <v>0.13389999999999999</v>
      </c>
      <c r="N110" s="9">
        <v>0.61119999999999997</v>
      </c>
      <c r="O110" s="9">
        <v>0.4612</v>
      </c>
      <c r="P110" s="9">
        <v>0.76119999999999999</v>
      </c>
      <c r="Q110" s="9">
        <v>0.108</v>
      </c>
      <c r="R110" s="9">
        <v>100</v>
      </c>
      <c r="S110" s="9"/>
      <c r="T110" s="9"/>
      <c r="U110" s="9">
        <v>0</v>
      </c>
      <c r="V110" s="9">
        <v>-0.61209999999999998</v>
      </c>
      <c r="W110" s="9">
        <v>-0.96970000000000001</v>
      </c>
      <c r="X110" s="9">
        <v>-0.25440000000000002</v>
      </c>
      <c r="Y110" s="9">
        <v>0.2576</v>
      </c>
      <c r="Z110" s="9"/>
      <c r="AA110" s="9"/>
      <c r="AB110" s="9"/>
      <c r="AC110" s="9"/>
      <c r="AD110" s="8"/>
      <c r="AE110" s="8"/>
      <c r="AF110" s="8"/>
      <c r="AG110" s="8"/>
    </row>
    <row r="111" spans="1:33" x14ac:dyDescent="0.25">
      <c r="A111" s="8" t="s">
        <v>83</v>
      </c>
      <c r="B111" s="8" t="s">
        <v>163</v>
      </c>
      <c r="C111" s="8" t="s">
        <v>134</v>
      </c>
      <c r="D111" s="8" t="s">
        <v>93</v>
      </c>
      <c r="E111" s="8">
        <v>5</v>
      </c>
      <c r="F111" s="9">
        <v>3.7999999999999999E-2</v>
      </c>
      <c r="G111" s="9">
        <v>2.9000000000000001E-2</v>
      </c>
      <c r="H111" s="9">
        <v>4.6899999999999997E-2</v>
      </c>
      <c r="I111" s="9">
        <v>6.4000000000000003E-3</v>
      </c>
      <c r="J111" s="9">
        <v>6.0000000000000001E-3</v>
      </c>
      <c r="K111" s="9">
        <v>3.3999999999999998E-3</v>
      </c>
      <c r="L111" s="9">
        <v>8.5000000000000006E-3</v>
      </c>
      <c r="M111" s="9">
        <v>1.8E-3</v>
      </c>
      <c r="N111" s="9">
        <v>7.6300000000000007E-2</v>
      </c>
      <c r="O111" s="9">
        <v>6.0199999999999997E-2</v>
      </c>
      <c r="P111" s="9">
        <v>9.2399999999999996E-2</v>
      </c>
      <c r="Q111" s="9">
        <v>1.1599999999999999E-2</v>
      </c>
      <c r="R111" s="9">
        <v>100</v>
      </c>
      <c r="S111" s="9"/>
      <c r="T111" s="9"/>
      <c r="U111" s="9">
        <v>0</v>
      </c>
      <c r="V111" s="9">
        <v>-0.3291</v>
      </c>
      <c r="W111" s="9">
        <v>-0.38390000000000002</v>
      </c>
      <c r="X111" s="9">
        <v>-0.2742</v>
      </c>
      <c r="Y111" s="9">
        <v>3.95E-2</v>
      </c>
      <c r="Z111" s="9"/>
      <c r="AA111" s="9"/>
      <c r="AB111" s="9"/>
      <c r="AC111" s="9"/>
      <c r="AD111" s="8"/>
      <c r="AE111" s="8"/>
      <c r="AF111" s="8"/>
      <c r="AG111" s="8"/>
    </row>
    <row r="112" spans="1:33" x14ac:dyDescent="0.25">
      <c r="A112" s="8" t="s">
        <v>83</v>
      </c>
      <c r="B112" s="8" t="s">
        <v>163</v>
      </c>
      <c r="C112" s="8" t="s">
        <v>134</v>
      </c>
      <c r="D112" s="8" t="s">
        <v>96</v>
      </c>
      <c r="E112" s="8">
        <v>5</v>
      </c>
      <c r="F112" s="9">
        <v>0.16009999999999999</v>
      </c>
      <c r="G112" s="9">
        <v>0.121</v>
      </c>
      <c r="H112" s="9">
        <v>0.1991</v>
      </c>
      <c r="I112" s="9">
        <v>2.81E-2</v>
      </c>
      <c r="J112" s="9">
        <v>4.3700000000000003E-2</v>
      </c>
      <c r="K112" s="9">
        <v>2.35E-2</v>
      </c>
      <c r="L112" s="9">
        <v>6.3799999999999996E-2</v>
      </c>
      <c r="M112" s="9">
        <v>1.4500000000000001E-2</v>
      </c>
      <c r="N112" s="9">
        <v>0.20569999999999999</v>
      </c>
      <c r="O112" s="9">
        <v>0.1552</v>
      </c>
      <c r="P112" s="9">
        <v>0.25629999999999997</v>
      </c>
      <c r="Q112" s="9">
        <v>3.6400000000000002E-2</v>
      </c>
      <c r="R112" s="9">
        <v>49.07</v>
      </c>
      <c r="S112" s="9">
        <v>24.587900000000001</v>
      </c>
      <c r="T112" s="9">
        <v>73.552199999999999</v>
      </c>
      <c r="U112" s="9">
        <v>17.6356</v>
      </c>
      <c r="V112" s="9">
        <v>-3.1300000000000001E-2</v>
      </c>
      <c r="W112" s="9">
        <v>-8.0199999999999994E-2</v>
      </c>
      <c r="X112" s="9">
        <v>1.7600000000000001E-2</v>
      </c>
      <c r="Y112" s="9">
        <v>3.5200000000000002E-2</v>
      </c>
      <c r="Z112" s="9"/>
      <c r="AA112" s="9"/>
      <c r="AB112" s="9"/>
      <c r="AC112" s="9"/>
      <c r="AD112" s="8"/>
      <c r="AE112" s="8"/>
      <c r="AF112" s="8"/>
      <c r="AG112" s="8"/>
    </row>
    <row r="113" spans="1:33" x14ac:dyDescent="0.25">
      <c r="A113" s="8" t="s">
        <v>83</v>
      </c>
      <c r="B113" s="8" t="s">
        <v>163</v>
      </c>
      <c r="C113" s="8" t="s">
        <v>134</v>
      </c>
      <c r="D113" s="8" t="s">
        <v>98</v>
      </c>
      <c r="E113" s="8">
        <v>5</v>
      </c>
      <c r="F113" s="9">
        <v>0.20449999999999999</v>
      </c>
      <c r="G113" s="9">
        <v>3.9199999999999999E-2</v>
      </c>
      <c r="H113" s="9">
        <v>0.36980000000000002</v>
      </c>
      <c r="I113" s="9">
        <v>0.1191</v>
      </c>
      <c r="J113" s="9">
        <v>0.2918</v>
      </c>
      <c r="K113" s="9">
        <v>-4.48E-2</v>
      </c>
      <c r="L113" s="9">
        <v>0.62839999999999996</v>
      </c>
      <c r="M113" s="9">
        <v>0.24249999999999999</v>
      </c>
      <c r="N113" s="9">
        <v>0.49790000000000001</v>
      </c>
      <c r="O113" s="9">
        <v>0.20699999999999999</v>
      </c>
      <c r="P113" s="9">
        <v>0.78879999999999995</v>
      </c>
      <c r="Q113" s="9">
        <v>0.20960000000000001</v>
      </c>
      <c r="R113" s="9">
        <v>100</v>
      </c>
      <c r="S113" s="9"/>
      <c r="T113" s="9"/>
      <c r="U113" s="9">
        <v>0</v>
      </c>
      <c r="V113" s="9">
        <v>-0.18509999999999999</v>
      </c>
      <c r="W113" s="9">
        <v>-0.29039999999999999</v>
      </c>
      <c r="X113" s="9">
        <v>-7.9799999999999996E-2</v>
      </c>
      <c r="Y113" s="9">
        <v>7.5800000000000006E-2</v>
      </c>
      <c r="Z113" s="9"/>
      <c r="AA113" s="9"/>
      <c r="AB113" s="9"/>
      <c r="AC113" s="9"/>
      <c r="AD113" s="8"/>
      <c r="AE113" s="8"/>
      <c r="AF113" s="8"/>
      <c r="AG113" s="8"/>
    </row>
    <row r="114" spans="1:33" x14ac:dyDescent="0.25">
      <c r="A114" s="8" t="s">
        <v>83</v>
      </c>
      <c r="B114" s="8" t="s">
        <v>163</v>
      </c>
      <c r="C114" s="8" t="s">
        <v>134</v>
      </c>
      <c r="D114" s="8" t="s">
        <v>95</v>
      </c>
      <c r="E114" s="8">
        <v>5</v>
      </c>
      <c r="F114" s="9">
        <v>5.2900000000000003E-2</v>
      </c>
      <c r="G114" s="9">
        <v>4.0399999999999998E-2</v>
      </c>
      <c r="H114" s="9">
        <v>6.5299999999999997E-2</v>
      </c>
      <c r="I114" s="9">
        <v>8.9999999999999993E-3</v>
      </c>
      <c r="J114" s="9">
        <v>5.5999999999999999E-3</v>
      </c>
      <c r="K114" s="9">
        <v>2.3999999999999998E-3</v>
      </c>
      <c r="L114" s="9">
        <v>8.8000000000000005E-3</v>
      </c>
      <c r="M114" s="9">
        <v>2.3E-3</v>
      </c>
      <c r="N114" s="9">
        <v>7.3400000000000007E-2</v>
      </c>
      <c r="O114" s="9">
        <v>5.1999999999999998E-2</v>
      </c>
      <c r="P114" s="9">
        <v>9.4799999999999995E-2</v>
      </c>
      <c r="Q114" s="9">
        <v>1.54E-2</v>
      </c>
      <c r="R114" s="9">
        <v>6.1875999999999998</v>
      </c>
      <c r="S114" s="9">
        <v>4.5045999999999999</v>
      </c>
      <c r="T114" s="9">
        <v>7.8707000000000003</v>
      </c>
      <c r="U114" s="9">
        <v>1.2123999999999999</v>
      </c>
      <c r="V114" s="9">
        <v>-4.4999999999999998E-2</v>
      </c>
      <c r="W114" s="9">
        <v>-0.15459999999999999</v>
      </c>
      <c r="X114" s="9">
        <v>6.4699999999999994E-2</v>
      </c>
      <c r="Y114" s="9">
        <v>7.9000000000000001E-2</v>
      </c>
      <c r="Z114" s="9"/>
      <c r="AA114" s="9"/>
      <c r="AB114" s="9"/>
      <c r="AC114" s="9"/>
      <c r="AD114" s="8"/>
      <c r="AE114" s="8"/>
      <c r="AF114" s="8"/>
      <c r="AG114" s="8"/>
    </row>
    <row r="115" spans="1:33" x14ac:dyDescent="0.25">
      <c r="A115" s="8" t="s">
        <v>83</v>
      </c>
      <c r="B115" s="8" t="s">
        <v>163</v>
      </c>
      <c r="C115" s="8" t="s">
        <v>134</v>
      </c>
      <c r="D115" s="8" t="s">
        <v>91</v>
      </c>
      <c r="E115" s="8">
        <v>5</v>
      </c>
      <c r="F115" s="9">
        <v>5.7200000000000001E-2</v>
      </c>
      <c r="G115" s="9">
        <v>3.9199999999999999E-2</v>
      </c>
      <c r="H115" s="9">
        <v>7.5300000000000006E-2</v>
      </c>
      <c r="I115" s="9">
        <v>1.2999999999999999E-2</v>
      </c>
      <c r="J115" s="9">
        <v>7.4999999999999997E-3</v>
      </c>
      <c r="K115" s="9">
        <v>3.3E-3</v>
      </c>
      <c r="L115" s="9">
        <v>1.18E-2</v>
      </c>
      <c r="M115" s="9">
        <v>3.0999999999999999E-3</v>
      </c>
      <c r="N115" s="9">
        <v>8.4900000000000003E-2</v>
      </c>
      <c r="O115" s="9">
        <v>5.96E-2</v>
      </c>
      <c r="P115" s="9">
        <v>0.11020000000000001</v>
      </c>
      <c r="Q115" s="9">
        <v>1.83E-2</v>
      </c>
      <c r="R115" s="9">
        <v>6.8772000000000002</v>
      </c>
      <c r="S115" s="9">
        <v>4.3888999999999996</v>
      </c>
      <c r="T115" s="9">
        <v>9.3655000000000008</v>
      </c>
      <c r="U115" s="9">
        <v>1.7924</v>
      </c>
      <c r="V115" s="9">
        <v>-0.27429999999999999</v>
      </c>
      <c r="W115" s="9">
        <v>-0.60540000000000005</v>
      </c>
      <c r="X115" s="9">
        <v>5.67E-2</v>
      </c>
      <c r="Y115" s="9">
        <v>0.2384</v>
      </c>
      <c r="Z115" s="9"/>
      <c r="AA115" s="9"/>
      <c r="AB115" s="9"/>
      <c r="AC115" s="9"/>
      <c r="AD115" s="8"/>
      <c r="AE115" s="8"/>
      <c r="AF115" s="8"/>
      <c r="AG115" s="8"/>
    </row>
    <row r="116" spans="1:33" x14ac:dyDescent="0.25">
      <c r="A116" s="8" t="s">
        <v>83</v>
      </c>
      <c r="B116" s="8" t="s">
        <v>163</v>
      </c>
      <c r="C116" s="8" t="s">
        <v>134</v>
      </c>
      <c r="D116" s="8" t="s">
        <v>92</v>
      </c>
      <c r="E116" s="8">
        <v>5</v>
      </c>
      <c r="F116" s="9">
        <v>8.8300000000000003E-2</v>
      </c>
      <c r="G116" s="9">
        <v>7.1800000000000003E-2</v>
      </c>
      <c r="H116" s="9">
        <v>0.10489999999999999</v>
      </c>
      <c r="I116" s="9">
        <v>1.1900000000000001E-2</v>
      </c>
      <c r="J116" s="9">
        <v>1.52E-2</v>
      </c>
      <c r="K116" s="9">
        <v>5.5999999999999999E-3</v>
      </c>
      <c r="L116" s="9">
        <v>2.4899999999999999E-2</v>
      </c>
      <c r="M116" s="9">
        <v>7.0000000000000001E-3</v>
      </c>
      <c r="N116" s="9">
        <v>0.1205</v>
      </c>
      <c r="O116" s="9">
        <v>8.3199999999999996E-2</v>
      </c>
      <c r="P116" s="9">
        <v>0.1578</v>
      </c>
      <c r="Q116" s="9">
        <v>2.69E-2</v>
      </c>
      <c r="R116" s="9">
        <v>12.847899999999999</v>
      </c>
      <c r="S116" s="9">
        <v>7.7874999999999996</v>
      </c>
      <c r="T116" s="9">
        <v>17.908300000000001</v>
      </c>
      <c r="U116" s="9">
        <v>3.6452</v>
      </c>
      <c r="V116" s="9">
        <v>-0.1217</v>
      </c>
      <c r="W116" s="9">
        <v>-0.27500000000000002</v>
      </c>
      <c r="X116" s="9">
        <v>3.1699999999999999E-2</v>
      </c>
      <c r="Y116" s="9">
        <v>0.1105</v>
      </c>
      <c r="Z116" s="9"/>
      <c r="AA116" s="9"/>
      <c r="AB116" s="9"/>
      <c r="AC116" s="9"/>
      <c r="AD116" s="8"/>
      <c r="AE116" s="8"/>
      <c r="AF116" s="8"/>
      <c r="AG116" s="8"/>
    </row>
    <row r="117" spans="1:33" x14ac:dyDescent="0.25">
      <c r="A117" s="8" t="s">
        <v>83</v>
      </c>
      <c r="B117" s="8" t="s">
        <v>163</v>
      </c>
      <c r="C117" s="8" t="s">
        <v>134</v>
      </c>
      <c r="D117" s="8" t="s">
        <v>135</v>
      </c>
      <c r="E117" s="8">
        <v>5</v>
      </c>
      <c r="F117" s="9">
        <v>0.16009999999999999</v>
      </c>
      <c r="G117" s="9">
        <v>8.3199999999999996E-2</v>
      </c>
      <c r="H117" s="9">
        <v>0.23710000000000001</v>
      </c>
      <c r="I117" s="9">
        <v>5.5399999999999998E-2</v>
      </c>
      <c r="J117" s="9">
        <v>7.4700000000000003E-2</v>
      </c>
      <c r="K117" s="9">
        <v>2.4199999999999999E-2</v>
      </c>
      <c r="L117" s="9">
        <v>0.12529999999999999</v>
      </c>
      <c r="M117" s="9">
        <v>3.6400000000000002E-2</v>
      </c>
      <c r="N117" s="9">
        <v>0.26600000000000001</v>
      </c>
      <c r="O117" s="9">
        <v>0.17810000000000001</v>
      </c>
      <c r="P117" s="9">
        <v>0.3538</v>
      </c>
      <c r="Q117" s="9">
        <v>6.3299999999999995E-2</v>
      </c>
      <c r="R117" s="9">
        <v>29.27</v>
      </c>
      <c r="S117" s="9">
        <v>3.923</v>
      </c>
      <c r="T117" s="9">
        <v>54.617100000000001</v>
      </c>
      <c r="U117" s="9">
        <v>18.258600000000001</v>
      </c>
      <c r="V117" s="9">
        <v>-0.5988</v>
      </c>
      <c r="W117" s="9">
        <v>-0.95289999999999997</v>
      </c>
      <c r="X117" s="9">
        <v>-0.24460000000000001</v>
      </c>
      <c r="Y117" s="9">
        <v>0.25509999999999999</v>
      </c>
      <c r="Z117" s="9"/>
      <c r="AA117" s="9"/>
      <c r="AB117" s="9"/>
      <c r="AC117" s="9"/>
      <c r="AD117" s="8"/>
      <c r="AE117" s="8"/>
      <c r="AF117" s="8"/>
      <c r="AG117" s="8"/>
    </row>
    <row r="118" spans="1:33" x14ac:dyDescent="0.25">
      <c r="A118" s="8" t="s">
        <v>83</v>
      </c>
      <c r="B118" s="8" t="s">
        <v>163</v>
      </c>
      <c r="C118" s="8" t="s">
        <v>134</v>
      </c>
      <c r="D118" s="8" t="s">
        <v>97</v>
      </c>
      <c r="E118" s="8">
        <v>5</v>
      </c>
      <c r="F118" s="9">
        <v>0.13550000000000001</v>
      </c>
      <c r="G118" s="9">
        <v>5.2600000000000001E-2</v>
      </c>
      <c r="H118" s="9">
        <v>0.2185</v>
      </c>
      <c r="I118" s="9">
        <v>5.9799999999999999E-2</v>
      </c>
      <c r="J118" s="9">
        <v>3.2199999999999999E-2</v>
      </c>
      <c r="K118" s="9">
        <v>-1.6799999999999999E-2</v>
      </c>
      <c r="L118" s="9">
        <v>8.1299999999999997E-2</v>
      </c>
      <c r="M118" s="9">
        <v>3.5299999999999998E-2</v>
      </c>
      <c r="N118" s="9">
        <v>0.1593</v>
      </c>
      <c r="O118" s="9">
        <v>4.4400000000000002E-2</v>
      </c>
      <c r="P118" s="9">
        <v>0.2742</v>
      </c>
      <c r="Q118" s="9">
        <v>8.2799999999999999E-2</v>
      </c>
      <c r="R118" s="9">
        <v>40.312899999999999</v>
      </c>
      <c r="S118" s="9">
        <v>5.4812000000000003</v>
      </c>
      <c r="T118" s="9">
        <v>75.144599999999997</v>
      </c>
      <c r="U118" s="9">
        <v>25.090900000000001</v>
      </c>
      <c r="V118" s="9">
        <v>-5555555123.6257</v>
      </c>
      <c r="W118" s="9">
        <v>-15599388139.858601</v>
      </c>
      <c r="X118" s="9">
        <v>4488277892.6071997</v>
      </c>
      <c r="Y118" s="9">
        <v>7235030865.4975996</v>
      </c>
      <c r="Z118" s="9"/>
      <c r="AA118" s="9"/>
      <c r="AB118" s="9"/>
      <c r="AC118" s="9"/>
      <c r="AD118" s="8"/>
      <c r="AE118" s="8"/>
      <c r="AF118" s="8"/>
      <c r="AG118" s="8"/>
    </row>
    <row r="119" spans="1:33" x14ac:dyDescent="0.25">
      <c r="A119" s="8" t="s">
        <v>83</v>
      </c>
      <c r="B119" s="8" t="s">
        <v>163</v>
      </c>
      <c r="C119" s="8" t="s">
        <v>124</v>
      </c>
      <c r="D119" s="8" t="s">
        <v>94</v>
      </c>
      <c r="E119" s="8">
        <v>5</v>
      </c>
      <c r="F119" s="9">
        <v>0.37380000000000002</v>
      </c>
      <c r="G119" s="9">
        <v>0.2122</v>
      </c>
      <c r="H119" s="9">
        <v>0.53539999999999999</v>
      </c>
      <c r="I119" s="9">
        <v>0.1164</v>
      </c>
      <c r="J119" s="9">
        <v>0.38519999999999999</v>
      </c>
      <c r="K119" s="9">
        <v>0.1993</v>
      </c>
      <c r="L119" s="9">
        <v>0.57110000000000005</v>
      </c>
      <c r="M119" s="9">
        <v>0.13389999999999999</v>
      </c>
      <c r="N119" s="9">
        <v>0.61119999999999997</v>
      </c>
      <c r="O119" s="9">
        <v>0.4612</v>
      </c>
      <c r="P119" s="9">
        <v>0.76119999999999999</v>
      </c>
      <c r="Q119" s="9">
        <v>0.108</v>
      </c>
      <c r="R119" s="9">
        <v>100</v>
      </c>
      <c r="S119" s="9"/>
      <c r="T119" s="9"/>
      <c r="U119" s="9">
        <v>0</v>
      </c>
      <c r="V119" s="9">
        <v>-0.61209999999999998</v>
      </c>
      <c r="W119" s="9">
        <v>-0.96970000000000001</v>
      </c>
      <c r="X119" s="9">
        <v>-0.25440000000000002</v>
      </c>
      <c r="Y119" s="9">
        <v>0.2576</v>
      </c>
      <c r="Z119" s="9"/>
      <c r="AA119" s="9"/>
      <c r="AB119" s="9"/>
      <c r="AC119" s="9"/>
      <c r="AD119" s="8"/>
      <c r="AE119" s="8"/>
      <c r="AF119" s="8"/>
      <c r="AG119" s="8"/>
    </row>
    <row r="120" spans="1:33" x14ac:dyDescent="0.25">
      <c r="A120" s="8" t="s">
        <v>83</v>
      </c>
      <c r="B120" s="8" t="s">
        <v>163</v>
      </c>
      <c r="C120" s="8" t="s">
        <v>124</v>
      </c>
      <c r="D120" s="8" t="s">
        <v>93</v>
      </c>
      <c r="E120" s="8">
        <v>5</v>
      </c>
      <c r="F120" s="9">
        <v>3.1899999999999998E-2</v>
      </c>
      <c r="G120" s="9">
        <v>1.89E-2</v>
      </c>
      <c r="H120" s="9">
        <v>4.48E-2</v>
      </c>
      <c r="I120" s="9">
        <v>9.2999999999999992E-3</v>
      </c>
      <c r="J120" s="9">
        <v>3.3E-3</v>
      </c>
      <c r="K120" s="9">
        <v>1.1999999999999999E-3</v>
      </c>
      <c r="L120" s="9">
        <v>5.4000000000000003E-3</v>
      </c>
      <c r="M120" s="9">
        <v>1.5E-3</v>
      </c>
      <c r="N120" s="9">
        <v>5.62E-2</v>
      </c>
      <c r="O120" s="9">
        <v>3.9399999999999998E-2</v>
      </c>
      <c r="P120" s="9">
        <v>7.2999999999999995E-2</v>
      </c>
      <c r="Q120" s="9">
        <v>1.21E-2</v>
      </c>
      <c r="R120" s="9">
        <v>76.557100000000005</v>
      </c>
      <c r="S120" s="9">
        <v>47.479199999999999</v>
      </c>
      <c r="T120" s="9">
        <v>105.63509999999999</v>
      </c>
      <c r="U120" s="9">
        <v>20.946200000000001</v>
      </c>
      <c r="V120" s="9">
        <v>0.27689999999999998</v>
      </c>
      <c r="W120" s="9">
        <v>6.6799999999999998E-2</v>
      </c>
      <c r="X120" s="9">
        <v>0.4869</v>
      </c>
      <c r="Y120" s="9">
        <v>0.15129999999999999</v>
      </c>
      <c r="Z120" s="9"/>
      <c r="AA120" s="9"/>
      <c r="AB120" s="9"/>
      <c r="AC120" s="9"/>
      <c r="AD120" s="8"/>
      <c r="AE120" s="8"/>
      <c r="AF120" s="8"/>
      <c r="AG120" s="8"/>
    </row>
    <row r="121" spans="1:33" x14ac:dyDescent="0.25">
      <c r="A121" s="8" t="s">
        <v>83</v>
      </c>
      <c r="B121" s="8" t="s">
        <v>163</v>
      </c>
      <c r="C121" s="8" t="s">
        <v>124</v>
      </c>
      <c r="D121" s="8" t="s">
        <v>96</v>
      </c>
      <c r="E121" s="8">
        <v>5</v>
      </c>
      <c r="F121" s="9">
        <v>0.14480000000000001</v>
      </c>
      <c r="G121" s="9">
        <v>0.1132</v>
      </c>
      <c r="H121" s="9">
        <v>0.1764</v>
      </c>
      <c r="I121" s="9">
        <v>2.2800000000000001E-2</v>
      </c>
      <c r="J121" s="9">
        <v>3.3700000000000001E-2</v>
      </c>
      <c r="K121" s="9">
        <v>2.4E-2</v>
      </c>
      <c r="L121" s="9">
        <v>4.3400000000000001E-2</v>
      </c>
      <c r="M121" s="9">
        <v>7.0000000000000001E-3</v>
      </c>
      <c r="N121" s="9">
        <v>0.18240000000000001</v>
      </c>
      <c r="O121" s="9">
        <v>0.1547</v>
      </c>
      <c r="P121" s="9">
        <v>0.21010000000000001</v>
      </c>
      <c r="Q121" s="9">
        <v>0.02</v>
      </c>
      <c r="R121" s="9">
        <v>42.020099999999999</v>
      </c>
      <c r="S121" s="9">
        <v>23.950099999999999</v>
      </c>
      <c r="T121" s="9">
        <v>60.0901</v>
      </c>
      <c r="U121" s="9">
        <v>13.0166</v>
      </c>
      <c r="V121" s="9">
        <v>0.15820000000000001</v>
      </c>
      <c r="W121" s="9">
        <v>-5.62E-2</v>
      </c>
      <c r="X121" s="9">
        <v>0.37259999999999999</v>
      </c>
      <c r="Y121" s="9">
        <v>0.15440000000000001</v>
      </c>
      <c r="Z121" s="9"/>
      <c r="AA121" s="9"/>
      <c r="AB121" s="9"/>
      <c r="AC121" s="9"/>
      <c r="AD121" s="8"/>
      <c r="AE121" s="8"/>
      <c r="AF121" s="8"/>
      <c r="AG121" s="8"/>
    </row>
    <row r="122" spans="1:33" x14ac:dyDescent="0.25">
      <c r="A122" s="8" t="s">
        <v>83</v>
      </c>
      <c r="B122" s="8" t="s">
        <v>163</v>
      </c>
      <c r="C122" s="8" t="s">
        <v>124</v>
      </c>
      <c r="D122" s="8" t="s">
        <v>98</v>
      </c>
      <c r="E122" s="8">
        <v>5</v>
      </c>
      <c r="F122" s="9">
        <v>0.20449999999999999</v>
      </c>
      <c r="G122" s="9">
        <v>3.9199999999999999E-2</v>
      </c>
      <c r="H122" s="9">
        <v>0.36980000000000002</v>
      </c>
      <c r="I122" s="9">
        <v>0.1191</v>
      </c>
      <c r="J122" s="9">
        <v>0.2918</v>
      </c>
      <c r="K122" s="9">
        <v>-4.48E-2</v>
      </c>
      <c r="L122" s="9">
        <v>0.62839999999999996</v>
      </c>
      <c r="M122" s="9">
        <v>0.24249999999999999</v>
      </c>
      <c r="N122" s="9">
        <v>0.49790000000000001</v>
      </c>
      <c r="O122" s="9">
        <v>0.20699999999999999</v>
      </c>
      <c r="P122" s="9">
        <v>0.78879999999999995</v>
      </c>
      <c r="Q122" s="9">
        <v>0.20960000000000001</v>
      </c>
      <c r="R122" s="9">
        <v>100</v>
      </c>
      <c r="S122" s="9"/>
      <c r="T122" s="9"/>
      <c r="U122" s="9">
        <v>0</v>
      </c>
      <c r="V122" s="9">
        <v>-0.18509999999999999</v>
      </c>
      <c r="W122" s="9">
        <v>-0.29039999999999999</v>
      </c>
      <c r="X122" s="9">
        <v>-7.9799999999999996E-2</v>
      </c>
      <c r="Y122" s="9">
        <v>7.5800000000000006E-2</v>
      </c>
      <c r="Z122" s="9"/>
      <c r="AA122" s="9"/>
      <c r="AB122" s="9"/>
      <c r="AC122" s="9"/>
      <c r="AD122" s="8"/>
      <c r="AE122" s="8"/>
      <c r="AF122" s="8"/>
      <c r="AG122" s="8"/>
    </row>
    <row r="123" spans="1:33" x14ac:dyDescent="0.25">
      <c r="A123" s="8" t="s">
        <v>83</v>
      </c>
      <c r="B123" s="8" t="s">
        <v>163</v>
      </c>
      <c r="C123" s="8" t="s">
        <v>124</v>
      </c>
      <c r="D123" s="8" t="s">
        <v>95</v>
      </c>
      <c r="E123" s="8">
        <v>5</v>
      </c>
      <c r="F123" s="9">
        <v>5.91E-2</v>
      </c>
      <c r="G123" s="9">
        <v>5.0099999999999999E-2</v>
      </c>
      <c r="H123" s="9">
        <v>6.8099999999999994E-2</v>
      </c>
      <c r="I123" s="9">
        <v>6.4999999999999997E-3</v>
      </c>
      <c r="J123" s="9">
        <v>6.4000000000000003E-3</v>
      </c>
      <c r="K123" s="9">
        <v>4.4999999999999997E-3</v>
      </c>
      <c r="L123" s="9">
        <v>8.3999999999999995E-3</v>
      </c>
      <c r="M123" s="9">
        <v>1.4E-3</v>
      </c>
      <c r="N123" s="9">
        <v>7.9600000000000004E-2</v>
      </c>
      <c r="O123" s="9">
        <v>6.7000000000000004E-2</v>
      </c>
      <c r="P123" s="9">
        <v>9.2200000000000004E-2</v>
      </c>
      <c r="Q123" s="9">
        <v>9.1000000000000004E-3</v>
      </c>
      <c r="R123" s="9">
        <v>6.7217000000000002</v>
      </c>
      <c r="S123" s="9">
        <v>5.5823</v>
      </c>
      <c r="T123" s="9">
        <v>7.8612000000000002</v>
      </c>
      <c r="U123" s="9">
        <v>0.82079999999999997</v>
      </c>
      <c r="V123" s="9">
        <v>-0.31669999999999998</v>
      </c>
      <c r="W123" s="9">
        <v>-0.86199999999999999</v>
      </c>
      <c r="X123" s="9">
        <v>0.2286</v>
      </c>
      <c r="Y123" s="9">
        <v>0.39279999999999998</v>
      </c>
      <c r="Z123" s="9"/>
      <c r="AA123" s="9"/>
      <c r="AB123" s="9"/>
      <c r="AC123" s="9"/>
      <c r="AD123" s="8"/>
      <c r="AE123" s="8"/>
      <c r="AF123" s="8"/>
      <c r="AG123" s="8"/>
    </row>
    <row r="124" spans="1:33" x14ac:dyDescent="0.25">
      <c r="A124" s="8" t="s">
        <v>83</v>
      </c>
      <c r="B124" s="8" t="s">
        <v>163</v>
      </c>
      <c r="C124" s="8" t="s">
        <v>124</v>
      </c>
      <c r="D124" s="8" t="s">
        <v>91</v>
      </c>
      <c r="E124" s="8">
        <v>5</v>
      </c>
      <c r="F124" s="9">
        <v>6.4299999999999996E-2</v>
      </c>
      <c r="G124" s="9">
        <v>5.0099999999999999E-2</v>
      </c>
      <c r="H124" s="9">
        <v>7.8600000000000003E-2</v>
      </c>
      <c r="I124" s="9">
        <v>1.03E-2</v>
      </c>
      <c r="J124" s="9">
        <v>7.0000000000000001E-3</v>
      </c>
      <c r="K124" s="9">
        <v>5.1999999999999998E-3</v>
      </c>
      <c r="L124" s="9">
        <v>8.8000000000000005E-3</v>
      </c>
      <c r="M124" s="9">
        <v>1.2999999999999999E-3</v>
      </c>
      <c r="N124" s="9">
        <v>8.3400000000000002E-2</v>
      </c>
      <c r="O124" s="9">
        <v>7.3099999999999998E-2</v>
      </c>
      <c r="P124" s="9">
        <v>9.3799999999999994E-2</v>
      </c>
      <c r="Q124" s="9">
        <v>7.4999999999999997E-3</v>
      </c>
      <c r="R124" s="9">
        <v>7.3216999999999999</v>
      </c>
      <c r="S124" s="9">
        <v>5.55</v>
      </c>
      <c r="T124" s="9">
        <v>9.0934000000000008</v>
      </c>
      <c r="U124" s="9">
        <v>1.2762</v>
      </c>
      <c r="V124" s="9">
        <v>-0.31190000000000001</v>
      </c>
      <c r="W124" s="9">
        <v>-0.79279999999999995</v>
      </c>
      <c r="X124" s="9">
        <v>0.16900000000000001</v>
      </c>
      <c r="Y124" s="9">
        <v>0.34639999999999999</v>
      </c>
      <c r="Z124" s="9"/>
      <c r="AA124" s="9"/>
      <c r="AB124" s="9"/>
      <c r="AC124" s="9"/>
      <c r="AD124" s="8"/>
      <c r="AE124" s="8"/>
      <c r="AF124" s="8"/>
      <c r="AG124" s="8"/>
    </row>
    <row r="125" spans="1:33" x14ac:dyDescent="0.25">
      <c r="A125" s="8" t="s">
        <v>83</v>
      </c>
      <c r="B125" s="8" t="s">
        <v>163</v>
      </c>
      <c r="C125" s="8" t="s">
        <v>124</v>
      </c>
      <c r="D125" s="8" t="s">
        <v>92</v>
      </c>
      <c r="E125" s="8">
        <v>5</v>
      </c>
      <c r="F125" s="9">
        <v>7.3200000000000001E-2</v>
      </c>
      <c r="G125" s="9">
        <v>6.2100000000000002E-2</v>
      </c>
      <c r="H125" s="9">
        <v>8.43E-2</v>
      </c>
      <c r="I125" s="9">
        <v>8.0000000000000002E-3</v>
      </c>
      <c r="J125" s="9">
        <v>8.8999999999999999E-3</v>
      </c>
      <c r="K125" s="9">
        <v>4.4000000000000003E-3</v>
      </c>
      <c r="L125" s="9">
        <v>1.34E-2</v>
      </c>
      <c r="M125" s="9">
        <v>3.2000000000000002E-3</v>
      </c>
      <c r="N125" s="9">
        <v>9.2700000000000005E-2</v>
      </c>
      <c r="O125" s="9">
        <v>6.9699999999999998E-2</v>
      </c>
      <c r="P125" s="9">
        <v>0.1157</v>
      </c>
      <c r="Q125" s="9">
        <v>1.66E-2</v>
      </c>
      <c r="R125" s="9">
        <v>9.8414000000000001</v>
      </c>
      <c r="S125" s="9">
        <v>6.7404000000000002</v>
      </c>
      <c r="T125" s="9">
        <v>12.942500000000001</v>
      </c>
      <c r="U125" s="9">
        <v>2.2338</v>
      </c>
      <c r="V125" s="9">
        <v>0.31340000000000001</v>
      </c>
      <c r="W125" s="9">
        <v>0.1119</v>
      </c>
      <c r="X125" s="9">
        <v>0.51500000000000001</v>
      </c>
      <c r="Y125" s="9">
        <v>0.1452</v>
      </c>
      <c r="Z125" s="9"/>
      <c r="AA125" s="9"/>
      <c r="AB125" s="9"/>
      <c r="AC125" s="9"/>
      <c r="AD125" s="8"/>
      <c r="AE125" s="8"/>
      <c r="AF125" s="8"/>
      <c r="AG125" s="8"/>
    </row>
    <row r="126" spans="1:33" x14ac:dyDescent="0.25">
      <c r="A126" s="8" t="s">
        <v>83</v>
      </c>
      <c r="B126" s="8" t="s">
        <v>163</v>
      </c>
      <c r="C126" s="8" t="s">
        <v>124</v>
      </c>
      <c r="D126" s="8" t="s">
        <v>135</v>
      </c>
      <c r="E126" s="8">
        <v>5</v>
      </c>
      <c r="F126" s="9">
        <v>0.15590000000000001</v>
      </c>
      <c r="G126" s="9">
        <v>0.1018</v>
      </c>
      <c r="H126" s="9">
        <v>0.21</v>
      </c>
      <c r="I126" s="9">
        <v>3.9E-2</v>
      </c>
      <c r="J126" s="9">
        <v>4.5999999999999999E-2</v>
      </c>
      <c r="K126" s="9">
        <v>1.95E-2</v>
      </c>
      <c r="L126" s="9">
        <v>7.2599999999999998E-2</v>
      </c>
      <c r="M126" s="9">
        <v>1.9099999999999999E-2</v>
      </c>
      <c r="N126" s="9">
        <v>0.21029999999999999</v>
      </c>
      <c r="O126" s="9">
        <v>0.15090000000000001</v>
      </c>
      <c r="P126" s="9">
        <v>0.2697</v>
      </c>
      <c r="Q126" s="9">
        <v>4.2799999999999998E-2</v>
      </c>
      <c r="R126" s="9">
        <v>25.740600000000001</v>
      </c>
      <c r="S126" s="9">
        <v>8.0184999999999995</v>
      </c>
      <c r="T126" s="9">
        <v>43.462699999999998</v>
      </c>
      <c r="U126" s="9">
        <v>12.766</v>
      </c>
      <c r="V126" s="9">
        <v>-1.84E-2</v>
      </c>
      <c r="W126" s="9">
        <v>-0.25230000000000002</v>
      </c>
      <c r="X126" s="9">
        <v>0.2155</v>
      </c>
      <c r="Y126" s="9">
        <v>0.16850000000000001</v>
      </c>
      <c r="Z126" s="9"/>
      <c r="AA126" s="9"/>
      <c r="AB126" s="9"/>
      <c r="AC126" s="9"/>
      <c r="AD126" s="8"/>
      <c r="AE126" s="8"/>
      <c r="AF126" s="8"/>
      <c r="AG126" s="8"/>
    </row>
    <row r="127" spans="1:33" x14ac:dyDescent="0.25">
      <c r="A127" s="8" t="s">
        <v>83</v>
      </c>
      <c r="B127" s="8" t="s">
        <v>163</v>
      </c>
      <c r="C127" s="8" t="s">
        <v>124</v>
      </c>
      <c r="D127" s="8" t="s">
        <v>97</v>
      </c>
      <c r="E127" s="8">
        <v>5</v>
      </c>
      <c r="F127" s="9">
        <v>0.13389999999999999</v>
      </c>
      <c r="G127" s="9">
        <v>3.8100000000000002E-2</v>
      </c>
      <c r="H127" s="9">
        <v>0.2298</v>
      </c>
      <c r="I127" s="9">
        <v>6.9000000000000006E-2</v>
      </c>
      <c r="J127" s="9">
        <v>3.49E-2</v>
      </c>
      <c r="K127" s="9">
        <v>-2.86E-2</v>
      </c>
      <c r="L127" s="9">
        <v>9.8400000000000001E-2</v>
      </c>
      <c r="M127" s="9">
        <v>4.58E-2</v>
      </c>
      <c r="N127" s="9">
        <v>0.15459999999999999</v>
      </c>
      <c r="O127" s="9">
        <v>8.8999999999999999E-3</v>
      </c>
      <c r="P127" s="9">
        <v>0.30020000000000002</v>
      </c>
      <c r="Q127" s="9">
        <v>0.10489999999999999</v>
      </c>
      <c r="R127" s="9">
        <v>35.054000000000002</v>
      </c>
      <c r="S127" s="9">
        <v>13.6342</v>
      </c>
      <c r="T127" s="9">
        <v>56.473700000000001</v>
      </c>
      <c r="U127" s="9">
        <v>15.429600000000001</v>
      </c>
      <c r="V127" s="9">
        <v>-7170924134.434</v>
      </c>
      <c r="W127" s="9">
        <v>-21180575861.957199</v>
      </c>
      <c r="X127" s="9">
        <v>6838727593.0890999</v>
      </c>
      <c r="Y127" s="9">
        <v>10091790902.903601</v>
      </c>
      <c r="Z127" s="9"/>
      <c r="AA127" s="9"/>
      <c r="AB127" s="9"/>
      <c r="AC127" s="9"/>
      <c r="AD127" s="8"/>
      <c r="AE127" s="8"/>
      <c r="AF127" s="8"/>
      <c r="AG127" s="8"/>
    </row>
    <row r="128" spans="1:33" x14ac:dyDescent="0.25">
      <c r="A128" s="8" t="s">
        <v>83</v>
      </c>
      <c r="B128" s="8" t="s">
        <v>163</v>
      </c>
      <c r="C128" s="8" t="s">
        <v>253</v>
      </c>
      <c r="D128" s="8" t="s">
        <v>94</v>
      </c>
      <c r="E128" s="8">
        <v>5</v>
      </c>
      <c r="F128" s="9">
        <v>0.15540000000000001</v>
      </c>
      <c r="G128" s="9">
        <v>6.3399999999999998E-2</v>
      </c>
      <c r="H128" s="9">
        <v>0.24740000000000001</v>
      </c>
      <c r="I128" s="9">
        <v>6.6299999999999998E-2</v>
      </c>
      <c r="J128" s="9">
        <v>0.1668</v>
      </c>
      <c r="K128" s="9">
        <v>5.9900000000000002E-2</v>
      </c>
      <c r="L128" s="9">
        <v>0.2737</v>
      </c>
      <c r="M128" s="9">
        <v>7.6999999999999999E-2</v>
      </c>
      <c r="N128" s="9">
        <v>0.39600000000000002</v>
      </c>
      <c r="O128" s="9">
        <v>0.25700000000000001</v>
      </c>
      <c r="P128" s="9">
        <v>0.53490000000000004</v>
      </c>
      <c r="Q128" s="9">
        <v>0.10009999999999999</v>
      </c>
      <c r="R128" s="9">
        <v>20.3889</v>
      </c>
      <c r="S128" s="9">
        <v>12.7323</v>
      </c>
      <c r="T128" s="9">
        <v>28.045500000000001</v>
      </c>
      <c r="U128" s="9">
        <v>5.5153999999999996</v>
      </c>
      <c r="V128" s="9">
        <v>0.24030000000000001</v>
      </c>
      <c r="W128" s="9">
        <v>-0.35560000000000003</v>
      </c>
      <c r="X128" s="9">
        <v>0.83630000000000004</v>
      </c>
      <c r="Y128" s="9">
        <v>0.42930000000000001</v>
      </c>
      <c r="Z128" s="9"/>
      <c r="AA128" s="9"/>
      <c r="AB128" s="9"/>
      <c r="AC128" s="9"/>
      <c r="AD128" s="8"/>
      <c r="AE128" s="8"/>
      <c r="AF128" s="8"/>
      <c r="AG128" s="8"/>
    </row>
    <row r="129" spans="1:33" x14ac:dyDescent="0.25">
      <c r="A129" s="8" t="s">
        <v>83</v>
      </c>
      <c r="B129" s="8" t="s">
        <v>163</v>
      </c>
      <c r="C129" s="8" t="s">
        <v>253</v>
      </c>
      <c r="D129" s="8" t="s">
        <v>93</v>
      </c>
      <c r="E129" s="8">
        <v>5</v>
      </c>
      <c r="F129" s="9">
        <v>3.27E-2</v>
      </c>
      <c r="G129" s="9">
        <v>2.5499999999999998E-2</v>
      </c>
      <c r="H129" s="9">
        <v>3.9899999999999998E-2</v>
      </c>
      <c r="I129" s="9">
        <v>5.1999999999999998E-3</v>
      </c>
      <c r="J129" s="9">
        <v>4.3E-3</v>
      </c>
      <c r="K129" s="9">
        <v>2E-3</v>
      </c>
      <c r="L129" s="9">
        <v>6.7000000000000002E-3</v>
      </c>
      <c r="M129" s="9">
        <v>1.6999999999999999E-3</v>
      </c>
      <c r="N129" s="9">
        <v>6.4799999999999996E-2</v>
      </c>
      <c r="O129" s="9">
        <v>4.82E-2</v>
      </c>
      <c r="P129" s="9">
        <v>8.14E-2</v>
      </c>
      <c r="Q129" s="9">
        <v>1.2E-2</v>
      </c>
      <c r="R129" s="9">
        <v>89.788600000000002</v>
      </c>
      <c r="S129" s="9">
        <v>59.051600000000001</v>
      </c>
      <c r="T129" s="9">
        <v>120.5257</v>
      </c>
      <c r="U129" s="9">
        <v>22.141300000000001</v>
      </c>
      <c r="V129" s="9">
        <v>3.2899999999999999E-2</v>
      </c>
      <c r="W129" s="9">
        <v>-0.2084</v>
      </c>
      <c r="X129" s="9">
        <v>0.27410000000000001</v>
      </c>
      <c r="Y129" s="9">
        <v>0.17380000000000001</v>
      </c>
      <c r="Z129" s="9"/>
      <c r="AA129" s="9"/>
      <c r="AB129" s="9"/>
      <c r="AC129" s="9"/>
      <c r="AD129" s="8"/>
      <c r="AE129" s="8"/>
      <c r="AF129" s="8"/>
      <c r="AG129" s="8"/>
    </row>
    <row r="130" spans="1:33" x14ac:dyDescent="0.25">
      <c r="A130" s="8" t="s">
        <v>83</v>
      </c>
      <c r="B130" s="8" t="s">
        <v>163</v>
      </c>
      <c r="C130" s="8" t="s">
        <v>253</v>
      </c>
      <c r="D130" s="8" t="s">
        <v>96</v>
      </c>
      <c r="E130" s="8">
        <v>5</v>
      </c>
      <c r="F130" s="9">
        <v>0.1807</v>
      </c>
      <c r="G130" s="9">
        <v>0.15279999999999999</v>
      </c>
      <c r="H130" s="9">
        <v>0.20849999999999999</v>
      </c>
      <c r="I130" s="9">
        <v>2.01E-2</v>
      </c>
      <c r="J130" s="9">
        <v>5.3499999999999999E-2</v>
      </c>
      <c r="K130" s="9">
        <v>3.9800000000000002E-2</v>
      </c>
      <c r="L130" s="9">
        <v>6.7199999999999996E-2</v>
      </c>
      <c r="M130" s="9">
        <v>9.9000000000000008E-3</v>
      </c>
      <c r="N130" s="9">
        <v>0.23039999999999999</v>
      </c>
      <c r="O130" s="9">
        <v>0.2016</v>
      </c>
      <c r="P130" s="9">
        <v>0.25919999999999999</v>
      </c>
      <c r="Q130" s="9">
        <v>2.07E-2</v>
      </c>
      <c r="R130" s="9">
        <v>44.069899999999997</v>
      </c>
      <c r="S130" s="9">
        <v>32.330399999999997</v>
      </c>
      <c r="T130" s="9">
        <v>55.809399999999997</v>
      </c>
      <c r="U130" s="9">
        <v>8.4565000000000001</v>
      </c>
      <c r="V130" s="9">
        <v>-0.37830000000000003</v>
      </c>
      <c r="W130" s="9">
        <v>-0.91120000000000001</v>
      </c>
      <c r="X130" s="9">
        <v>0.15459999999999999</v>
      </c>
      <c r="Y130" s="9">
        <v>0.38390000000000002</v>
      </c>
      <c r="Z130" s="9"/>
      <c r="AA130" s="9"/>
      <c r="AB130" s="9"/>
      <c r="AC130" s="9"/>
      <c r="AD130" s="8"/>
      <c r="AE130" s="8"/>
      <c r="AF130" s="8"/>
      <c r="AG130" s="8"/>
    </row>
    <row r="131" spans="1:33" x14ac:dyDescent="0.25">
      <c r="A131" s="8" t="s">
        <v>83</v>
      </c>
      <c r="B131" s="8" t="s">
        <v>163</v>
      </c>
      <c r="C131" s="8" t="s">
        <v>253</v>
      </c>
      <c r="D131" s="8" t="s">
        <v>98</v>
      </c>
      <c r="E131" s="8">
        <v>5</v>
      </c>
      <c r="F131" s="9">
        <v>0.37019999999999997</v>
      </c>
      <c r="G131" s="9">
        <v>0.18</v>
      </c>
      <c r="H131" s="9">
        <v>0.56040000000000001</v>
      </c>
      <c r="I131" s="9">
        <v>0.13700000000000001</v>
      </c>
      <c r="J131" s="9">
        <v>0.50519999999999998</v>
      </c>
      <c r="K131" s="9">
        <v>0.16300000000000001</v>
      </c>
      <c r="L131" s="9">
        <v>0.84740000000000004</v>
      </c>
      <c r="M131" s="9">
        <v>0.2465</v>
      </c>
      <c r="N131" s="9">
        <v>0.68730000000000002</v>
      </c>
      <c r="O131" s="9">
        <v>0.43609999999999999</v>
      </c>
      <c r="P131" s="9">
        <v>0.93859999999999999</v>
      </c>
      <c r="Q131" s="9">
        <v>0.18099999999999999</v>
      </c>
      <c r="R131" s="9">
        <v>91.111099999999993</v>
      </c>
      <c r="S131" s="9">
        <v>57.546900000000001</v>
      </c>
      <c r="T131" s="9">
        <v>124.67529999999999</v>
      </c>
      <c r="U131" s="9">
        <v>24.177800000000001</v>
      </c>
      <c r="V131" s="9">
        <v>-1.6072</v>
      </c>
      <c r="W131" s="9">
        <v>-2.8142999999999998</v>
      </c>
      <c r="X131" s="9">
        <v>-0.40010000000000001</v>
      </c>
      <c r="Y131" s="9">
        <v>0.86950000000000005</v>
      </c>
      <c r="Z131" s="9"/>
      <c r="AA131" s="9"/>
      <c r="AB131" s="9"/>
      <c r="AC131" s="9"/>
      <c r="AD131" s="8"/>
      <c r="AE131" s="8"/>
      <c r="AF131" s="8"/>
      <c r="AG131" s="8"/>
    </row>
    <row r="132" spans="1:33" x14ac:dyDescent="0.25">
      <c r="A132" s="8" t="s">
        <v>83</v>
      </c>
      <c r="B132" s="8" t="s">
        <v>163</v>
      </c>
      <c r="C132" s="8" t="s">
        <v>253</v>
      </c>
      <c r="D132" s="8" t="s">
        <v>95</v>
      </c>
      <c r="E132" s="8">
        <v>5</v>
      </c>
      <c r="F132" s="9">
        <v>6.2799999999999995E-2</v>
      </c>
      <c r="G132" s="9">
        <v>5.0200000000000002E-2</v>
      </c>
      <c r="H132" s="9">
        <v>7.5499999999999998E-2</v>
      </c>
      <c r="I132" s="9">
        <v>9.1000000000000004E-3</v>
      </c>
      <c r="J132" s="9">
        <v>7.4000000000000003E-3</v>
      </c>
      <c r="K132" s="9">
        <v>4.3E-3</v>
      </c>
      <c r="L132" s="9">
        <v>1.04E-2</v>
      </c>
      <c r="M132" s="9">
        <v>2.2000000000000001E-3</v>
      </c>
      <c r="N132" s="9">
        <v>8.48E-2</v>
      </c>
      <c r="O132" s="9">
        <v>6.5500000000000003E-2</v>
      </c>
      <c r="P132" s="9">
        <v>0.1041</v>
      </c>
      <c r="Q132" s="9">
        <v>1.3899999999999999E-2</v>
      </c>
      <c r="R132" s="9">
        <v>7.0972999999999997</v>
      </c>
      <c r="S132" s="9">
        <v>5.4352999999999998</v>
      </c>
      <c r="T132" s="9">
        <v>8.7592999999999996</v>
      </c>
      <c r="U132" s="9">
        <v>1.1972</v>
      </c>
      <c r="V132" s="9">
        <v>-0.51100000000000001</v>
      </c>
      <c r="W132" s="9">
        <v>-1.3085</v>
      </c>
      <c r="X132" s="9">
        <v>0.28660000000000002</v>
      </c>
      <c r="Y132" s="9">
        <v>0.57450000000000001</v>
      </c>
      <c r="Z132" s="9"/>
      <c r="AA132" s="9"/>
      <c r="AB132" s="9"/>
      <c r="AC132" s="9"/>
      <c r="AD132" s="8"/>
      <c r="AE132" s="8"/>
      <c r="AF132" s="8"/>
      <c r="AG132" s="8"/>
    </row>
    <row r="133" spans="1:33" x14ac:dyDescent="0.25">
      <c r="A133" s="8" t="s">
        <v>83</v>
      </c>
      <c r="B133" s="8" t="s">
        <v>163</v>
      </c>
      <c r="C133" s="8" t="s">
        <v>253</v>
      </c>
      <c r="D133" s="8" t="s">
        <v>91</v>
      </c>
      <c r="E133" s="8">
        <v>5</v>
      </c>
      <c r="F133" s="9">
        <v>7.8899999999999998E-2</v>
      </c>
      <c r="G133" s="9">
        <v>5.9200000000000003E-2</v>
      </c>
      <c r="H133" s="9">
        <v>9.8599999999999993E-2</v>
      </c>
      <c r="I133" s="9">
        <v>1.4200000000000001E-2</v>
      </c>
      <c r="J133" s="9">
        <v>1.0800000000000001E-2</v>
      </c>
      <c r="K133" s="9">
        <v>6.4000000000000003E-3</v>
      </c>
      <c r="L133" s="9">
        <v>1.52E-2</v>
      </c>
      <c r="M133" s="9">
        <v>3.2000000000000002E-3</v>
      </c>
      <c r="N133" s="9">
        <v>0.10290000000000001</v>
      </c>
      <c r="O133" s="9">
        <v>8.1199999999999994E-2</v>
      </c>
      <c r="P133" s="9">
        <v>0.1245</v>
      </c>
      <c r="Q133" s="9">
        <v>1.5599999999999999E-2</v>
      </c>
      <c r="R133" s="9">
        <v>8.8492999999999995</v>
      </c>
      <c r="S133" s="9">
        <v>6.3693999999999997</v>
      </c>
      <c r="T133" s="9">
        <v>11.3293</v>
      </c>
      <c r="U133" s="9">
        <v>1.7864</v>
      </c>
      <c r="V133" s="9">
        <v>-0.99180000000000001</v>
      </c>
      <c r="W133" s="9">
        <v>-1.8334999999999999</v>
      </c>
      <c r="X133" s="9">
        <v>-0.1502</v>
      </c>
      <c r="Y133" s="9">
        <v>0.60629999999999995</v>
      </c>
      <c r="Z133" s="9"/>
      <c r="AA133" s="9"/>
      <c r="AB133" s="9"/>
      <c r="AC133" s="9"/>
      <c r="AD133" s="8"/>
      <c r="AE133" s="8"/>
      <c r="AF133" s="8"/>
      <c r="AG133" s="8"/>
    </row>
    <row r="134" spans="1:33" x14ac:dyDescent="0.25">
      <c r="A134" s="8" t="s">
        <v>83</v>
      </c>
      <c r="B134" s="8" t="s">
        <v>163</v>
      </c>
      <c r="C134" s="8" t="s">
        <v>253</v>
      </c>
      <c r="D134" s="8" t="s">
        <v>92</v>
      </c>
      <c r="E134" s="8">
        <v>5</v>
      </c>
      <c r="F134" s="9">
        <v>9.01E-2</v>
      </c>
      <c r="G134" s="9">
        <v>7.3499999999999996E-2</v>
      </c>
      <c r="H134" s="9">
        <v>0.1067</v>
      </c>
      <c r="I134" s="9">
        <v>1.2E-2</v>
      </c>
      <c r="J134" s="9">
        <v>1.4800000000000001E-2</v>
      </c>
      <c r="K134" s="9">
        <v>6.8999999999999999E-3</v>
      </c>
      <c r="L134" s="9">
        <v>2.2700000000000001E-2</v>
      </c>
      <c r="M134" s="9">
        <v>5.7000000000000002E-3</v>
      </c>
      <c r="N134" s="9">
        <v>0.1193</v>
      </c>
      <c r="O134" s="9">
        <v>8.7300000000000003E-2</v>
      </c>
      <c r="P134" s="9">
        <v>0.15129999999999999</v>
      </c>
      <c r="Q134" s="9">
        <v>2.3099999999999999E-2</v>
      </c>
      <c r="R134" s="9">
        <v>12.1541</v>
      </c>
      <c r="S134" s="9">
        <v>8.3651</v>
      </c>
      <c r="T134" s="9">
        <v>15.943199999999999</v>
      </c>
      <c r="U134" s="9">
        <v>2.7294</v>
      </c>
      <c r="V134" s="9">
        <v>-0.1268</v>
      </c>
      <c r="W134" s="9">
        <v>-0.45119999999999999</v>
      </c>
      <c r="X134" s="9">
        <v>0.19769999999999999</v>
      </c>
      <c r="Y134" s="9">
        <v>0.23369999999999999</v>
      </c>
      <c r="Z134" s="9"/>
      <c r="AA134" s="9"/>
      <c r="AB134" s="9"/>
      <c r="AC134" s="9"/>
      <c r="AD134" s="8"/>
      <c r="AE134" s="8"/>
      <c r="AF134" s="8"/>
      <c r="AG134" s="8"/>
    </row>
    <row r="135" spans="1:33" x14ac:dyDescent="0.25">
      <c r="A135" s="8" t="s">
        <v>83</v>
      </c>
      <c r="B135" s="8" t="s">
        <v>163</v>
      </c>
      <c r="C135" s="8" t="s">
        <v>253</v>
      </c>
      <c r="D135" s="8" t="s">
        <v>135</v>
      </c>
      <c r="E135" s="8">
        <v>5</v>
      </c>
      <c r="F135" s="9">
        <v>0.19889999999999999</v>
      </c>
      <c r="G135" s="9">
        <v>0.12280000000000001</v>
      </c>
      <c r="H135" s="9">
        <v>0.27500000000000002</v>
      </c>
      <c r="I135" s="9">
        <v>5.4800000000000001E-2</v>
      </c>
      <c r="J135" s="9">
        <v>9.5399999999999999E-2</v>
      </c>
      <c r="K135" s="9">
        <v>2.58E-2</v>
      </c>
      <c r="L135" s="9">
        <v>0.16489999999999999</v>
      </c>
      <c r="M135" s="9">
        <v>5.0099999999999999E-2</v>
      </c>
      <c r="N135" s="9">
        <v>0.2989</v>
      </c>
      <c r="O135" s="9">
        <v>0.19109999999999999</v>
      </c>
      <c r="P135" s="9">
        <v>0.40670000000000001</v>
      </c>
      <c r="Q135" s="9">
        <v>7.7600000000000002E-2</v>
      </c>
      <c r="R135" s="9">
        <v>31.257200000000001</v>
      </c>
      <c r="S135" s="9">
        <v>13.782999999999999</v>
      </c>
      <c r="T135" s="9">
        <v>48.731499999999997</v>
      </c>
      <c r="U135" s="9">
        <v>12.5875</v>
      </c>
      <c r="V135" s="9">
        <v>-1.0347999999999999</v>
      </c>
      <c r="W135" s="9">
        <v>-1.7825</v>
      </c>
      <c r="X135" s="9">
        <v>-0.28710000000000002</v>
      </c>
      <c r="Y135" s="9">
        <v>0.53859999999999997</v>
      </c>
      <c r="Z135" s="9"/>
      <c r="AA135" s="9"/>
      <c r="AB135" s="9"/>
      <c r="AC135" s="9"/>
      <c r="AD135" s="8"/>
      <c r="AE135" s="8"/>
      <c r="AF135" s="8"/>
      <c r="AG135" s="8"/>
    </row>
    <row r="136" spans="1:33" x14ac:dyDescent="0.25">
      <c r="A136" s="8" t="s">
        <v>83</v>
      </c>
      <c r="B136" s="8" t="s">
        <v>163</v>
      </c>
      <c r="C136" s="8" t="s">
        <v>253</v>
      </c>
      <c r="D136" s="8" t="s">
        <v>97</v>
      </c>
      <c r="E136" s="8">
        <v>5</v>
      </c>
      <c r="F136" s="9">
        <v>0.1522</v>
      </c>
      <c r="G136" s="9">
        <v>1.6899999999999998E-2</v>
      </c>
      <c r="H136" s="9">
        <v>0.28749999999999998</v>
      </c>
      <c r="I136" s="9">
        <v>9.7500000000000003E-2</v>
      </c>
      <c r="J136" s="9">
        <v>4.41E-2</v>
      </c>
      <c r="K136" s="9">
        <v>-1.17E-2</v>
      </c>
      <c r="L136" s="9">
        <v>9.98E-2</v>
      </c>
      <c r="M136" s="9">
        <v>4.0099999999999997E-2</v>
      </c>
      <c r="N136" s="9">
        <v>0.17480000000000001</v>
      </c>
      <c r="O136" s="9">
        <v>1.35E-2</v>
      </c>
      <c r="P136" s="9">
        <v>0.3362</v>
      </c>
      <c r="Q136" s="9">
        <v>0.1162</v>
      </c>
      <c r="R136" s="9">
        <v>44.138300000000001</v>
      </c>
      <c r="S136" s="9">
        <v>3.3822999999999999</v>
      </c>
      <c r="T136" s="9">
        <v>84.894300000000001</v>
      </c>
      <c r="U136" s="9">
        <v>29.3584</v>
      </c>
      <c r="V136" s="9">
        <v>-14222221312.4681</v>
      </c>
      <c r="W136" s="9">
        <v>-53709438058.885399</v>
      </c>
      <c r="X136" s="9">
        <v>25264995433.9492</v>
      </c>
      <c r="Y136" s="9">
        <v>28444442623.7659</v>
      </c>
      <c r="Z136" s="9"/>
      <c r="AA136" s="9"/>
      <c r="AB136" s="9"/>
      <c r="AC136" s="9"/>
      <c r="AD136" s="8"/>
      <c r="AE136" s="8"/>
      <c r="AF136" s="8"/>
      <c r="AG136" s="8"/>
    </row>
    <row r="137" spans="1:33" x14ac:dyDescent="0.25">
      <c r="A137" s="8" t="s">
        <v>83</v>
      </c>
      <c r="B137" s="8" t="s">
        <v>163</v>
      </c>
      <c r="C137" s="8" t="s">
        <v>254</v>
      </c>
      <c r="D137" s="8" t="s">
        <v>94</v>
      </c>
      <c r="E137" s="8">
        <v>5</v>
      </c>
      <c r="F137" s="9">
        <v>0.16789999999999999</v>
      </c>
      <c r="G137" s="9">
        <v>4.6399999999999997E-2</v>
      </c>
      <c r="H137" s="9">
        <v>0.28949999999999998</v>
      </c>
      <c r="I137" s="9">
        <v>8.7599999999999997E-2</v>
      </c>
      <c r="J137" s="9">
        <v>0.1794</v>
      </c>
      <c r="K137" s="9">
        <v>5.8200000000000002E-2</v>
      </c>
      <c r="L137" s="9">
        <v>0.30049999999999999</v>
      </c>
      <c r="M137" s="9">
        <v>8.7300000000000003E-2</v>
      </c>
      <c r="N137" s="9">
        <v>0.4093</v>
      </c>
      <c r="O137" s="9">
        <v>0.25819999999999999</v>
      </c>
      <c r="P137" s="9">
        <v>0.56040000000000001</v>
      </c>
      <c r="Q137" s="9">
        <v>0.10879999999999999</v>
      </c>
      <c r="R137" s="9">
        <v>19.416699999999999</v>
      </c>
      <c r="S137" s="9">
        <v>15.156700000000001</v>
      </c>
      <c r="T137" s="9">
        <v>23.676600000000001</v>
      </c>
      <c r="U137" s="9">
        <v>3.0686</v>
      </c>
      <c r="V137" s="9">
        <v>0.20319999999999999</v>
      </c>
      <c r="W137" s="9">
        <v>-0.3569</v>
      </c>
      <c r="X137" s="9">
        <v>0.76329999999999998</v>
      </c>
      <c r="Y137" s="9">
        <v>0.40350000000000003</v>
      </c>
      <c r="Z137" s="9"/>
      <c r="AA137" s="9"/>
      <c r="AB137" s="9"/>
      <c r="AC137" s="9"/>
      <c r="AD137" s="8"/>
      <c r="AE137" s="8"/>
      <c r="AF137" s="8"/>
      <c r="AG137" s="8"/>
    </row>
    <row r="138" spans="1:33" x14ac:dyDescent="0.25">
      <c r="A138" s="8" t="s">
        <v>83</v>
      </c>
      <c r="B138" s="8" t="s">
        <v>163</v>
      </c>
      <c r="C138" s="8" t="s">
        <v>254</v>
      </c>
      <c r="D138" s="8" t="s">
        <v>93</v>
      </c>
      <c r="E138" s="8">
        <v>5</v>
      </c>
      <c r="F138" s="9">
        <v>3.1099999999999999E-2</v>
      </c>
      <c r="G138" s="9">
        <v>1.9800000000000002E-2</v>
      </c>
      <c r="H138" s="9">
        <v>4.24E-2</v>
      </c>
      <c r="I138" s="9">
        <v>8.0999999999999996E-3</v>
      </c>
      <c r="J138" s="9">
        <v>3.3999999999999998E-3</v>
      </c>
      <c r="K138" s="9">
        <v>1.6000000000000001E-3</v>
      </c>
      <c r="L138" s="9">
        <v>5.1999999999999998E-3</v>
      </c>
      <c r="M138" s="9">
        <v>1.2999999999999999E-3</v>
      </c>
      <c r="N138" s="9">
        <v>5.74E-2</v>
      </c>
      <c r="O138" s="9">
        <v>4.2099999999999999E-2</v>
      </c>
      <c r="P138" s="9">
        <v>7.2700000000000001E-2</v>
      </c>
      <c r="Q138" s="9">
        <v>1.0999999999999999E-2</v>
      </c>
      <c r="R138" s="9">
        <v>83.093199999999996</v>
      </c>
      <c r="S138" s="9">
        <v>42.4285</v>
      </c>
      <c r="T138" s="9">
        <v>123.75790000000001</v>
      </c>
      <c r="U138" s="9">
        <v>29.2927</v>
      </c>
      <c r="V138" s="9">
        <v>0.18190000000000001</v>
      </c>
      <c r="W138" s="9">
        <v>-0.39200000000000002</v>
      </c>
      <c r="X138" s="9">
        <v>0.75580000000000003</v>
      </c>
      <c r="Y138" s="9">
        <v>0.41339999999999999</v>
      </c>
      <c r="Z138" s="9"/>
      <c r="AA138" s="9"/>
      <c r="AB138" s="9"/>
      <c r="AC138" s="9"/>
      <c r="AD138" s="8"/>
      <c r="AE138" s="8"/>
      <c r="AF138" s="8"/>
      <c r="AG138" s="8"/>
    </row>
    <row r="139" spans="1:33" x14ac:dyDescent="0.25">
      <c r="A139" s="8" t="s">
        <v>83</v>
      </c>
      <c r="B139" s="8" t="s">
        <v>163</v>
      </c>
      <c r="C139" s="8" t="s">
        <v>254</v>
      </c>
      <c r="D139" s="8" t="s">
        <v>96</v>
      </c>
      <c r="E139" s="8">
        <v>5</v>
      </c>
      <c r="F139" s="9">
        <v>0.1416</v>
      </c>
      <c r="G139" s="9">
        <v>0.1207</v>
      </c>
      <c r="H139" s="9">
        <v>0.16259999999999999</v>
      </c>
      <c r="I139" s="9">
        <v>1.5100000000000001E-2</v>
      </c>
      <c r="J139" s="9">
        <v>3.32E-2</v>
      </c>
      <c r="K139" s="9">
        <v>1.9199999999999998E-2</v>
      </c>
      <c r="L139" s="9">
        <v>4.7100000000000003E-2</v>
      </c>
      <c r="M139" s="9">
        <v>0.01</v>
      </c>
      <c r="N139" s="9">
        <v>0.1802</v>
      </c>
      <c r="O139" s="9">
        <v>0.14449999999999999</v>
      </c>
      <c r="P139" s="9">
        <v>0.21590000000000001</v>
      </c>
      <c r="Q139" s="9">
        <v>2.5700000000000001E-2</v>
      </c>
      <c r="R139" s="9">
        <v>37.555999999999997</v>
      </c>
      <c r="S139" s="9">
        <v>25.171399999999998</v>
      </c>
      <c r="T139" s="9">
        <v>49.940600000000003</v>
      </c>
      <c r="U139" s="9">
        <v>8.9212000000000007</v>
      </c>
      <c r="V139" s="9">
        <v>0.15820000000000001</v>
      </c>
      <c r="W139" s="9">
        <v>-0.22500000000000001</v>
      </c>
      <c r="X139" s="9">
        <v>0.54139999999999999</v>
      </c>
      <c r="Y139" s="9">
        <v>0.27600000000000002</v>
      </c>
      <c r="Z139" s="9"/>
      <c r="AA139" s="9"/>
      <c r="AB139" s="9"/>
      <c r="AC139" s="9"/>
      <c r="AD139" s="8"/>
      <c r="AE139" s="8"/>
      <c r="AF139" s="8"/>
      <c r="AG139" s="8"/>
    </row>
    <row r="140" spans="1:33" x14ac:dyDescent="0.25">
      <c r="A140" s="8" t="s">
        <v>83</v>
      </c>
      <c r="B140" s="8" t="s">
        <v>163</v>
      </c>
      <c r="C140" s="8" t="s">
        <v>254</v>
      </c>
      <c r="D140" s="8" t="s">
        <v>98</v>
      </c>
      <c r="E140" s="8">
        <v>5</v>
      </c>
      <c r="F140" s="9">
        <v>0.26960000000000001</v>
      </c>
      <c r="G140" s="9">
        <v>0.108</v>
      </c>
      <c r="H140" s="9">
        <v>0.43130000000000002</v>
      </c>
      <c r="I140" s="9">
        <v>0.11650000000000001</v>
      </c>
      <c r="J140" s="9">
        <v>0.35699999999999998</v>
      </c>
      <c r="K140" s="9">
        <v>5.2600000000000001E-2</v>
      </c>
      <c r="L140" s="9">
        <v>0.66139999999999999</v>
      </c>
      <c r="M140" s="9">
        <v>0.21929999999999999</v>
      </c>
      <c r="N140" s="9">
        <v>0.56969999999999998</v>
      </c>
      <c r="O140" s="9">
        <v>0.31929999999999997</v>
      </c>
      <c r="P140" s="9">
        <v>0.82</v>
      </c>
      <c r="Q140" s="9">
        <v>0.18029999999999999</v>
      </c>
      <c r="R140" s="9">
        <v>82.777799999999999</v>
      </c>
      <c r="S140" s="9">
        <v>56.692300000000003</v>
      </c>
      <c r="T140" s="9">
        <v>108.8633</v>
      </c>
      <c r="U140" s="9">
        <v>18.790600000000001</v>
      </c>
      <c r="V140" s="9">
        <v>-0.77359999999999995</v>
      </c>
      <c r="W140" s="9">
        <v>-1.7235</v>
      </c>
      <c r="X140" s="9">
        <v>0.17630000000000001</v>
      </c>
      <c r="Y140" s="9">
        <v>0.68420000000000003</v>
      </c>
      <c r="Z140" s="9"/>
      <c r="AA140" s="9"/>
      <c r="AB140" s="9"/>
      <c r="AC140" s="9"/>
      <c r="AD140" s="8"/>
      <c r="AE140" s="8"/>
      <c r="AF140" s="8"/>
      <c r="AG140" s="8"/>
    </row>
    <row r="141" spans="1:33" x14ac:dyDescent="0.25">
      <c r="A141" s="8" t="s">
        <v>83</v>
      </c>
      <c r="B141" s="8" t="s">
        <v>163</v>
      </c>
      <c r="C141" s="8" t="s">
        <v>254</v>
      </c>
      <c r="D141" s="8" t="s">
        <v>95</v>
      </c>
      <c r="E141" s="8">
        <v>5</v>
      </c>
      <c r="F141" s="9">
        <v>6.2100000000000002E-2</v>
      </c>
      <c r="G141" s="9">
        <v>5.0900000000000001E-2</v>
      </c>
      <c r="H141" s="9">
        <v>7.3300000000000004E-2</v>
      </c>
      <c r="I141" s="9">
        <v>8.0999999999999996E-3</v>
      </c>
      <c r="J141" s="9">
        <v>7.1999999999999998E-3</v>
      </c>
      <c r="K141" s="9">
        <v>4.7000000000000002E-3</v>
      </c>
      <c r="L141" s="9">
        <v>9.7000000000000003E-3</v>
      </c>
      <c r="M141" s="9">
        <v>1.8E-3</v>
      </c>
      <c r="N141" s="9">
        <v>8.43E-2</v>
      </c>
      <c r="O141" s="9">
        <v>6.8500000000000005E-2</v>
      </c>
      <c r="P141" s="9">
        <v>0.1</v>
      </c>
      <c r="Q141" s="9">
        <v>1.1299999999999999E-2</v>
      </c>
      <c r="R141" s="9">
        <v>7.0586000000000002</v>
      </c>
      <c r="S141" s="9">
        <v>5.6675000000000004</v>
      </c>
      <c r="T141" s="9">
        <v>8.4496000000000002</v>
      </c>
      <c r="U141" s="9">
        <v>1.0021</v>
      </c>
      <c r="V141" s="9">
        <v>-0.55010000000000003</v>
      </c>
      <c r="W141" s="9">
        <v>-1.5994999999999999</v>
      </c>
      <c r="X141" s="9">
        <v>0.49919999999999998</v>
      </c>
      <c r="Y141" s="9">
        <v>0.75590000000000002</v>
      </c>
      <c r="Z141" s="9"/>
      <c r="AA141" s="9"/>
      <c r="AB141" s="9"/>
      <c r="AC141" s="9"/>
      <c r="AD141" s="8"/>
      <c r="AE141" s="8"/>
      <c r="AF141" s="8"/>
      <c r="AG141" s="8"/>
    </row>
    <row r="142" spans="1:33" x14ac:dyDescent="0.25">
      <c r="A142" s="8" t="s">
        <v>83</v>
      </c>
      <c r="B142" s="8" t="s">
        <v>163</v>
      </c>
      <c r="C142" s="8" t="s">
        <v>254</v>
      </c>
      <c r="D142" s="8" t="s">
        <v>91</v>
      </c>
      <c r="E142" s="8">
        <v>5</v>
      </c>
      <c r="F142" s="9">
        <v>7.6600000000000001E-2</v>
      </c>
      <c r="G142" s="9">
        <v>7.0900000000000005E-2</v>
      </c>
      <c r="H142" s="9">
        <v>8.2199999999999995E-2</v>
      </c>
      <c r="I142" s="9">
        <v>4.0000000000000001E-3</v>
      </c>
      <c r="J142" s="9">
        <v>9.9000000000000008E-3</v>
      </c>
      <c r="K142" s="9">
        <v>8.6999999999999994E-3</v>
      </c>
      <c r="L142" s="9">
        <v>1.11E-2</v>
      </c>
      <c r="M142" s="9">
        <v>8.0000000000000004E-4</v>
      </c>
      <c r="N142" s="9">
        <v>9.9400000000000002E-2</v>
      </c>
      <c r="O142" s="9">
        <v>9.3600000000000003E-2</v>
      </c>
      <c r="P142" s="9">
        <v>0.1051</v>
      </c>
      <c r="Q142" s="9">
        <v>4.1999999999999997E-3</v>
      </c>
      <c r="R142" s="9">
        <v>8.5776000000000003</v>
      </c>
      <c r="S142" s="9">
        <v>7.6059999999999999</v>
      </c>
      <c r="T142" s="9">
        <v>9.5493000000000006</v>
      </c>
      <c r="U142" s="9">
        <v>0.69989999999999997</v>
      </c>
      <c r="V142" s="9">
        <v>-0.87819999999999998</v>
      </c>
      <c r="W142" s="9">
        <v>-1.6705000000000001</v>
      </c>
      <c r="X142" s="9">
        <v>-8.5999999999999993E-2</v>
      </c>
      <c r="Y142" s="9">
        <v>0.57069999999999999</v>
      </c>
      <c r="Z142" s="9"/>
      <c r="AA142" s="9"/>
      <c r="AB142" s="9"/>
      <c r="AC142" s="9"/>
      <c r="AD142" s="8"/>
      <c r="AE142" s="8"/>
      <c r="AF142" s="8"/>
      <c r="AG142" s="8"/>
    </row>
    <row r="143" spans="1:33" x14ac:dyDescent="0.25">
      <c r="A143" s="8" t="s">
        <v>83</v>
      </c>
      <c r="B143" s="8" t="s">
        <v>163</v>
      </c>
      <c r="C143" s="8" t="s">
        <v>254</v>
      </c>
      <c r="D143" s="8" t="s">
        <v>92</v>
      </c>
      <c r="E143" s="8">
        <v>5</v>
      </c>
      <c r="F143" s="9">
        <v>7.7100000000000002E-2</v>
      </c>
      <c r="G143" s="9">
        <v>6.1600000000000002E-2</v>
      </c>
      <c r="H143" s="9">
        <v>9.2700000000000005E-2</v>
      </c>
      <c r="I143" s="9">
        <v>1.12E-2</v>
      </c>
      <c r="J143" s="9">
        <v>1.06E-2</v>
      </c>
      <c r="K143" s="9">
        <v>5.1999999999999998E-3</v>
      </c>
      <c r="L143" s="9">
        <v>1.61E-2</v>
      </c>
      <c r="M143" s="9">
        <v>3.8999999999999998E-3</v>
      </c>
      <c r="N143" s="9">
        <v>0.1014</v>
      </c>
      <c r="O143" s="9">
        <v>7.4800000000000005E-2</v>
      </c>
      <c r="P143" s="9">
        <v>0.128</v>
      </c>
      <c r="Q143" s="9">
        <v>1.9199999999999998E-2</v>
      </c>
      <c r="R143" s="9">
        <v>10.6113</v>
      </c>
      <c r="S143" s="9">
        <v>7.0189000000000004</v>
      </c>
      <c r="T143" s="9">
        <v>14.2037</v>
      </c>
      <c r="U143" s="9">
        <v>2.5878000000000001</v>
      </c>
      <c r="V143" s="9">
        <v>0.126</v>
      </c>
      <c r="W143" s="9">
        <v>-0.43109999999999998</v>
      </c>
      <c r="X143" s="9">
        <v>0.68310000000000004</v>
      </c>
      <c r="Y143" s="9">
        <v>0.40129999999999999</v>
      </c>
      <c r="Z143" s="9"/>
      <c r="AA143" s="9"/>
      <c r="AB143" s="9"/>
      <c r="AC143" s="9"/>
      <c r="AD143" s="8"/>
      <c r="AE143" s="8"/>
      <c r="AF143" s="8"/>
      <c r="AG143" s="8"/>
    </row>
    <row r="144" spans="1:33" x14ac:dyDescent="0.25">
      <c r="A144" s="8" t="s">
        <v>83</v>
      </c>
      <c r="B144" s="8" t="s">
        <v>163</v>
      </c>
      <c r="C144" s="8" t="s">
        <v>254</v>
      </c>
      <c r="D144" s="8" t="s">
        <v>135</v>
      </c>
      <c r="E144" s="8">
        <v>5</v>
      </c>
      <c r="F144" s="9">
        <v>0.16700000000000001</v>
      </c>
      <c r="G144" s="9">
        <v>0.115</v>
      </c>
      <c r="H144" s="9">
        <v>0.219</v>
      </c>
      <c r="I144" s="9">
        <v>3.7400000000000003E-2</v>
      </c>
      <c r="J144" s="9">
        <v>5.3900000000000003E-2</v>
      </c>
      <c r="K144" s="9">
        <v>2.2700000000000001E-2</v>
      </c>
      <c r="L144" s="9">
        <v>8.5000000000000006E-2</v>
      </c>
      <c r="M144" s="9">
        <v>2.24E-2</v>
      </c>
      <c r="N144" s="9">
        <v>0.22700000000000001</v>
      </c>
      <c r="O144" s="9">
        <v>0.16020000000000001</v>
      </c>
      <c r="P144" s="9">
        <v>0.29380000000000001</v>
      </c>
      <c r="Q144" s="9">
        <v>4.8099999999999997E-2</v>
      </c>
      <c r="R144" s="9">
        <v>26.0656</v>
      </c>
      <c r="S144" s="9">
        <v>9.6829999999999998</v>
      </c>
      <c r="T144" s="9">
        <v>42.4482</v>
      </c>
      <c r="U144" s="9">
        <v>11.8011</v>
      </c>
      <c r="V144" s="9">
        <v>-0.17349999999999999</v>
      </c>
      <c r="W144" s="9">
        <v>-0.3921</v>
      </c>
      <c r="X144" s="9">
        <v>4.5100000000000001E-2</v>
      </c>
      <c r="Y144" s="9">
        <v>0.1575</v>
      </c>
      <c r="Z144" s="9"/>
      <c r="AA144" s="9"/>
      <c r="AB144" s="9"/>
      <c r="AC144" s="9"/>
      <c r="AD144" s="8"/>
      <c r="AE144" s="8"/>
      <c r="AF144" s="8"/>
      <c r="AG144" s="8"/>
    </row>
    <row r="145" spans="1:33" x14ac:dyDescent="0.25">
      <c r="A145" s="8" t="s">
        <v>83</v>
      </c>
      <c r="B145" s="8" t="s">
        <v>163</v>
      </c>
      <c r="C145" s="8" t="s">
        <v>254</v>
      </c>
      <c r="D145" s="8" t="s">
        <v>97</v>
      </c>
      <c r="E145" s="8">
        <v>5</v>
      </c>
      <c r="F145" s="9">
        <v>0.16700000000000001</v>
      </c>
      <c r="G145" s="9">
        <v>7.5700000000000003E-2</v>
      </c>
      <c r="H145" s="9">
        <v>0.25840000000000002</v>
      </c>
      <c r="I145" s="9">
        <v>6.5799999999999997E-2</v>
      </c>
      <c r="J145" s="9">
        <v>4.8099999999999997E-2</v>
      </c>
      <c r="K145" s="9">
        <v>-2.23E-2</v>
      </c>
      <c r="L145" s="9">
        <v>0.11849999999999999</v>
      </c>
      <c r="M145" s="9">
        <v>5.0700000000000002E-2</v>
      </c>
      <c r="N145" s="9">
        <v>0.19739999999999999</v>
      </c>
      <c r="O145" s="9">
        <v>6.4899999999999999E-2</v>
      </c>
      <c r="P145" s="9">
        <v>0.32990000000000003</v>
      </c>
      <c r="Q145" s="9">
        <v>9.5500000000000002E-2</v>
      </c>
      <c r="R145" s="9">
        <v>46.729399999999998</v>
      </c>
      <c r="S145" s="9">
        <v>21.687100000000001</v>
      </c>
      <c r="T145" s="9">
        <v>71.771799999999999</v>
      </c>
      <c r="U145" s="9">
        <v>18.039200000000001</v>
      </c>
      <c r="V145" s="9">
        <v>-8395061659.0509996</v>
      </c>
      <c r="W145" s="9">
        <v>-22944065555.9342</v>
      </c>
      <c r="X145" s="9">
        <v>6153942237.8323002</v>
      </c>
      <c r="Y145" s="9">
        <v>10480310862.005501</v>
      </c>
      <c r="Z145" s="9"/>
      <c r="AA145" s="9"/>
      <c r="AB145" s="9"/>
      <c r="AC145" s="9"/>
      <c r="AD145" s="8"/>
      <c r="AE145" s="8"/>
      <c r="AF145" s="8"/>
      <c r="AG145" s="8"/>
    </row>
    <row r="146" spans="1:33" x14ac:dyDescent="0.25">
      <c r="A146" s="8" t="s">
        <v>194</v>
      </c>
      <c r="B146" s="8" t="s">
        <v>195</v>
      </c>
      <c r="C146" s="8" t="s">
        <v>131</v>
      </c>
      <c r="D146" s="8" t="s">
        <v>196</v>
      </c>
      <c r="E146" s="8">
        <v>5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>
        <v>0.42149999999999999</v>
      </c>
      <c r="AA146" s="9">
        <v>0.318</v>
      </c>
      <c r="AB146" s="9">
        <v>0.52510000000000001</v>
      </c>
      <c r="AC146" s="9">
        <v>7.46E-2</v>
      </c>
      <c r="AD146" s="8"/>
      <c r="AE146" s="8"/>
      <c r="AF146" s="8"/>
      <c r="AG146" s="8"/>
    </row>
    <row r="147" spans="1:33" x14ac:dyDescent="0.25">
      <c r="A147" s="8" t="s">
        <v>194</v>
      </c>
      <c r="B147" s="8" t="s">
        <v>195</v>
      </c>
      <c r="C147" s="8" t="s">
        <v>132</v>
      </c>
      <c r="D147" s="8" t="s">
        <v>196</v>
      </c>
      <c r="E147" s="8">
        <v>5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>
        <v>0.42149999999999999</v>
      </c>
      <c r="AA147" s="9">
        <v>0.318</v>
      </c>
      <c r="AB147" s="9">
        <v>0.52510000000000001</v>
      </c>
      <c r="AC147" s="9">
        <v>7.46E-2</v>
      </c>
      <c r="AD147" s="8"/>
      <c r="AE147" s="8"/>
      <c r="AF147" s="8"/>
      <c r="AG147" s="8"/>
    </row>
    <row r="148" spans="1:33" x14ac:dyDescent="0.25">
      <c r="A148" s="8" t="s">
        <v>194</v>
      </c>
      <c r="B148" s="8" t="s">
        <v>195</v>
      </c>
      <c r="C148" s="8" t="s">
        <v>133</v>
      </c>
      <c r="D148" s="8" t="s">
        <v>196</v>
      </c>
      <c r="E148" s="8">
        <v>5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>
        <v>0.42149999999999999</v>
      </c>
      <c r="AA148" s="9">
        <v>0.318</v>
      </c>
      <c r="AB148" s="9">
        <v>0.52510000000000001</v>
      </c>
      <c r="AC148" s="9">
        <v>7.46E-2</v>
      </c>
      <c r="AD148" s="8"/>
      <c r="AE148" s="8"/>
      <c r="AF148" s="8"/>
      <c r="AG148" s="8"/>
    </row>
    <row r="149" spans="1:33" x14ac:dyDescent="0.25">
      <c r="A149" s="8" t="s">
        <v>194</v>
      </c>
      <c r="B149" s="8" t="s">
        <v>195</v>
      </c>
      <c r="C149" s="8" t="s">
        <v>134</v>
      </c>
      <c r="D149" s="8" t="s">
        <v>196</v>
      </c>
      <c r="E149" s="8">
        <v>5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>
        <v>0</v>
      </c>
      <c r="AA149" s="9"/>
      <c r="AB149" s="9"/>
      <c r="AC149" s="9">
        <v>0</v>
      </c>
      <c r="AD149" s="8"/>
      <c r="AE149" s="8"/>
      <c r="AF149" s="8"/>
      <c r="AG149" s="8"/>
    </row>
    <row r="150" spans="1:33" x14ac:dyDescent="0.25">
      <c r="A150" s="8" t="s">
        <v>194</v>
      </c>
      <c r="B150" s="8" t="s">
        <v>195</v>
      </c>
      <c r="C150" s="8" t="s">
        <v>124</v>
      </c>
      <c r="D150" s="8" t="s">
        <v>196</v>
      </c>
      <c r="E150" s="8">
        <v>5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>
        <v>0.42149999999999999</v>
      </c>
      <c r="AA150" s="9">
        <v>0.318</v>
      </c>
      <c r="AB150" s="9">
        <v>0.52510000000000001</v>
      </c>
      <c r="AC150" s="9">
        <v>7.46E-2</v>
      </c>
      <c r="AD150" s="8"/>
      <c r="AE150" s="8"/>
      <c r="AF150" s="8"/>
      <c r="AG150" s="8"/>
    </row>
    <row r="151" spans="1:33" x14ac:dyDescent="0.25">
      <c r="A151" s="8" t="s">
        <v>194</v>
      </c>
      <c r="B151" s="8" t="s">
        <v>195</v>
      </c>
      <c r="C151" s="8" t="s">
        <v>253</v>
      </c>
      <c r="D151" s="8" t="s">
        <v>196</v>
      </c>
      <c r="E151" s="8">
        <v>5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>
        <v>0.42149999999999999</v>
      </c>
      <c r="AA151" s="9">
        <v>0.318</v>
      </c>
      <c r="AB151" s="9">
        <v>0.52510000000000001</v>
      </c>
      <c r="AC151" s="9">
        <v>7.46E-2</v>
      </c>
      <c r="AD151" s="8"/>
      <c r="AE151" s="8"/>
      <c r="AF151" s="8"/>
      <c r="AG151" s="8"/>
    </row>
    <row r="152" spans="1:33" x14ac:dyDescent="0.25">
      <c r="A152" s="8" t="s">
        <v>194</v>
      </c>
      <c r="B152" s="8" t="s">
        <v>195</v>
      </c>
      <c r="C152" s="8" t="s">
        <v>254</v>
      </c>
      <c r="D152" s="8" t="s">
        <v>196</v>
      </c>
      <c r="E152" s="8">
        <v>5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>
        <v>0.42149999999999999</v>
      </c>
      <c r="AA152" s="9">
        <v>0.318</v>
      </c>
      <c r="AB152" s="9">
        <v>0.52510000000000001</v>
      </c>
      <c r="AC152" s="9">
        <v>7.46E-2</v>
      </c>
      <c r="AD152" s="8"/>
      <c r="AE152" s="8"/>
      <c r="AF152" s="8"/>
      <c r="AG152" s="8"/>
    </row>
    <row r="153" spans="1:33" x14ac:dyDescent="0.25">
      <c r="A153" s="8" t="s">
        <v>136</v>
      </c>
      <c r="B153" s="8" t="s">
        <v>163</v>
      </c>
      <c r="C153" s="8" t="s">
        <v>164</v>
      </c>
      <c r="D153" s="8" t="s">
        <v>101</v>
      </c>
      <c r="E153" s="8">
        <v>5</v>
      </c>
      <c r="F153" s="9">
        <v>707.71360000000004</v>
      </c>
      <c r="G153" s="9">
        <v>344.54829999999998</v>
      </c>
      <c r="H153" s="9">
        <v>1070.8788</v>
      </c>
      <c r="I153" s="9">
        <v>261.60449999999997</v>
      </c>
      <c r="J153" s="9">
        <v>7222199.6391000003</v>
      </c>
      <c r="K153" s="9">
        <v>-776415.34380000003</v>
      </c>
      <c r="L153" s="9">
        <v>15220814.622</v>
      </c>
      <c r="M153" s="9">
        <v>5761767.0652999999</v>
      </c>
      <c r="N153" s="9">
        <v>2475.7440000000001</v>
      </c>
      <c r="O153" s="9">
        <v>1024.4762000000001</v>
      </c>
      <c r="P153" s="9">
        <v>3927.0118000000002</v>
      </c>
      <c r="Q153" s="9">
        <v>1045.4143999999999</v>
      </c>
      <c r="R153" s="9">
        <v>62.981499999999997</v>
      </c>
      <c r="S153" s="9">
        <v>50.567599999999999</v>
      </c>
      <c r="T153" s="9">
        <v>75.395399999999995</v>
      </c>
      <c r="U153" s="9">
        <v>8.9422999999999995</v>
      </c>
      <c r="V153" s="9">
        <v>-7.7399999999999997E-2</v>
      </c>
      <c r="W153" s="9">
        <v>-0.13389999999999999</v>
      </c>
      <c r="X153" s="9">
        <v>-2.0799999999999999E-2</v>
      </c>
      <c r="Y153" s="9">
        <v>4.07E-2</v>
      </c>
      <c r="Z153" s="9"/>
      <c r="AA153" s="9"/>
      <c r="AB153" s="9"/>
      <c r="AC153" s="9"/>
      <c r="AD153" s="8"/>
      <c r="AE153" s="8"/>
      <c r="AF153" s="8"/>
      <c r="AG153" s="8"/>
    </row>
    <row r="154" spans="1:33" x14ac:dyDescent="0.25">
      <c r="A154" s="8" t="s">
        <v>136</v>
      </c>
      <c r="B154" s="8" t="s">
        <v>163</v>
      </c>
      <c r="C154" s="8" t="s">
        <v>164</v>
      </c>
      <c r="D154" s="8" t="s">
        <v>100</v>
      </c>
      <c r="E154" s="8">
        <v>5</v>
      </c>
      <c r="F154" s="9">
        <v>34.422600000000003</v>
      </c>
      <c r="G154" s="9">
        <v>17.718599999999999</v>
      </c>
      <c r="H154" s="9">
        <v>51.126600000000003</v>
      </c>
      <c r="I154" s="9">
        <v>12.0327</v>
      </c>
      <c r="J154" s="9">
        <v>14397.8352</v>
      </c>
      <c r="K154" s="9">
        <v>3611.5293999999999</v>
      </c>
      <c r="L154" s="9">
        <v>25184.141</v>
      </c>
      <c r="M154" s="9">
        <v>7769.8679000000002</v>
      </c>
      <c r="N154" s="9">
        <v>109.4042</v>
      </c>
      <c r="O154" s="9">
        <v>40.992100000000001</v>
      </c>
      <c r="P154" s="9">
        <v>177.81630000000001</v>
      </c>
      <c r="Q154" s="9">
        <v>49.280299999999997</v>
      </c>
      <c r="R154" s="9">
        <v>65.005899999999997</v>
      </c>
      <c r="S154" s="9">
        <v>46.331000000000003</v>
      </c>
      <c r="T154" s="9">
        <v>83.680800000000005</v>
      </c>
      <c r="U154" s="9">
        <v>13.452400000000001</v>
      </c>
      <c r="V154" s="9">
        <v>-0.52380000000000004</v>
      </c>
      <c r="W154" s="9">
        <v>-1.7022999999999999</v>
      </c>
      <c r="X154" s="9">
        <v>0.65469999999999995</v>
      </c>
      <c r="Y154" s="9">
        <v>0.84889999999999999</v>
      </c>
      <c r="Z154" s="9"/>
      <c r="AA154" s="9"/>
      <c r="AB154" s="9"/>
      <c r="AC154" s="9"/>
      <c r="AD154" s="8"/>
      <c r="AE154" s="8"/>
      <c r="AF154" s="8"/>
      <c r="AG154" s="8"/>
    </row>
    <row r="155" spans="1:33" x14ac:dyDescent="0.25">
      <c r="A155" s="8" t="s">
        <v>136</v>
      </c>
      <c r="B155" s="8" t="s">
        <v>163</v>
      </c>
      <c r="C155" s="8" t="s">
        <v>164</v>
      </c>
      <c r="D155" s="8" t="s">
        <v>102</v>
      </c>
      <c r="E155" s="8">
        <v>5</v>
      </c>
      <c r="F155" s="9">
        <v>3.0800000000000001E-2</v>
      </c>
      <c r="G155" s="9">
        <v>1.3299999999999999E-2</v>
      </c>
      <c r="H155" s="9">
        <v>4.8300000000000003E-2</v>
      </c>
      <c r="I155" s="9">
        <v>1.26E-2</v>
      </c>
      <c r="J155" s="9">
        <v>1.6000000000000001E-3</v>
      </c>
      <c r="K155" s="9">
        <v>-1E-4</v>
      </c>
      <c r="L155" s="9">
        <v>3.3E-3</v>
      </c>
      <c r="M155" s="9">
        <v>1.1999999999999999E-3</v>
      </c>
      <c r="N155" s="9">
        <v>3.7499999999999999E-2</v>
      </c>
      <c r="O155" s="9">
        <v>1.7399999999999999E-2</v>
      </c>
      <c r="P155" s="9">
        <v>5.7500000000000002E-2</v>
      </c>
      <c r="Q155" s="9">
        <v>1.4500000000000001E-2</v>
      </c>
      <c r="R155" s="9">
        <v>66.279200000000003</v>
      </c>
      <c r="S155" s="9">
        <v>26.945399999999999</v>
      </c>
      <c r="T155" s="9">
        <v>105.6131</v>
      </c>
      <c r="U155" s="9">
        <v>28.334</v>
      </c>
      <c r="V155" s="9">
        <v>-5.7653999999999996</v>
      </c>
      <c r="W155" s="9">
        <v>-16.050999999999998</v>
      </c>
      <c r="X155" s="9">
        <v>4.5202</v>
      </c>
      <c r="Y155" s="9">
        <v>7.4092000000000002</v>
      </c>
      <c r="Z155" s="9"/>
      <c r="AA155" s="9"/>
      <c r="AB155" s="9"/>
      <c r="AC155" s="9"/>
      <c r="AD155" s="8"/>
      <c r="AE155" s="8"/>
      <c r="AF155" s="8"/>
      <c r="AG155" s="8"/>
    </row>
    <row r="156" spans="1:33" x14ac:dyDescent="0.25">
      <c r="A156" s="8" t="s">
        <v>136</v>
      </c>
      <c r="B156" s="8" t="s">
        <v>163</v>
      </c>
      <c r="C156" s="8" t="s">
        <v>164</v>
      </c>
      <c r="D156" s="8" t="s">
        <v>105</v>
      </c>
      <c r="E156" s="8">
        <v>5</v>
      </c>
      <c r="F156" s="9">
        <v>108.88030000000001</v>
      </c>
      <c r="G156" s="9">
        <v>89.398399999999995</v>
      </c>
      <c r="H156" s="9">
        <v>128.3622</v>
      </c>
      <c r="I156" s="9">
        <v>14.0337</v>
      </c>
      <c r="J156" s="9">
        <v>20324.284800000001</v>
      </c>
      <c r="K156" s="9">
        <v>15630.8598</v>
      </c>
      <c r="L156" s="9">
        <v>25017.709900000002</v>
      </c>
      <c r="M156" s="9">
        <v>3380.8881000000001</v>
      </c>
      <c r="N156" s="9">
        <v>142.0301</v>
      </c>
      <c r="O156" s="9">
        <v>124.93</v>
      </c>
      <c r="P156" s="9">
        <v>159.13030000000001</v>
      </c>
      <c r="Q156" s="9">
        <v>12.318</v>
      </c>
      <c r="R156" s="9">
        <v>99.929199999999994</v>
      </c>
      <c r="S156" s="9">
        <v>55.107700000000001</v>
      </c>
      <c r="T156" s="9">
        <v>144.75069999999999</v>
      </c>
      <c r="U156" s="9">
        <v>32.286999999999999</v>
      </c>
      <c r="V156" s="9">
        <v>-0.98270000000000002</v>
      </c>
      <c r="W156" s="9">
        <v>-1.5562</v>
      </c>
      <c r="X156" s="9">
        <v>-0.4093</v>
      </c>
      <c r="Y156" s="9">
        <v>0.41310000000000002</v>
      </c>
      <c r="Z156" s="9"/>
      <c r="AA156" s="9"/>
      <c r="AB156" s="9"/>
      <c r="AC156" s="9"/>
      <c r="AD156" s="8"/>
      <c r="AE156" s="8"/>
      <c r="AF156" s="8"/>
      <c r="AG156" s="8"/>
    </row>
    <row r="157" spans="1:33" x14ac:dyDescent="0.25">
      <c r="A157" s="8" t="s">
        <v>136</v>
      </c>
      <c r="B157" s="8" t="s">
        <v>163</v>
      </c>
      <c r="C157" s="8" t="s">
        <v>164</v>
      </c>
      <c r="D157" s="8" t="s">
        <v>104</v>
      </c>
      <c r="E157" s="8">
        <v>5</v>
      </c>
      <c r="F157" s="9">
        <v>23.7698</v>
      </c>
      <c r="G157" s="9">
        <v>18.533899999999999</v>
      </c>
      <c r="H157" s="9">
        <v>29.005700000000001</v>
      </c>
      <c r="I157" s="9">
        <v>3.7717000000000001</v>
      </c>
      <c r="J157" s="9">
        <v>2470.8143</v>
      </c>
      <c r="K157" s="9">
        <v>-1469.0228999999999</v>
      </c>
      <c r="L157" s="9">
        <v>6410.6513999999997</v>
      </c>
      <c r="M157" s="9">
        <v>2838.0443</v>
      </c>
      <c r="N157" s="9">
        <v>43.852200000000003</v>
      </c>
      <c r="O157" s="9">
        <v>11.360799999999999</v>
      </c>
      <c r="P157" s="9">
        <v>76.343599999999995</v>
      </c>
      <c r="Q157" s="9">
        <v>23.405000000000001</v>
      </c>
      <c r="R157" s="9">
        <v>76.424300000000002</v>
      </c>
      <c r="S157" s="9">
        <v>58.876300000000001</v>
      </c>
      <c r="T157" s="9">
        <v>93.972300000000004</v>
      </c>
      <c r="U157" s="9">
        <v>12.640599999999999</v>
      </c>
      <c r="V157" s="9">
        <v>-0.76439999999999997</v>
      </c>
      <c r="W157" s="9">
        <v>-1.2656000000000001</v>
      </c>
      <c r="X157" s="9">
        <v>-0.2631</v>
      </c>
      <c r="Y157" s="9">
        <v>0.36109999999999998</v>
      </c>
      <c r="Z157" s="9"/>
      <c r="AA157" s="9"/>
      <c r="AB157" s="9"/>
      <c r="AC157" s="9"/>
      <c r="AD157" s="8"/>
      <c r="AE157" s="8"/>
      <c r="AF157" s="8"/>
      <c r="AG157" s="8"/>
    </row>
    <row r="158" spans="1:33" x14ac:dyDescent="0.25">
      <c r="A158" s="8" t="s">
        <v>136</v>
      </c>
      <c r="B158" s="8" t="s">
        <v>163</v>
      </c>
      <c r="C158" s="8" t="s">
        <v>164</v>
      </c>
      <c r="D158" s="8" t="s">
        <v>103</v>
      </c>
      <c r="E158" s="8">
        <v>5</v>
      </c>
      <c r="F158" s="9">
        <v>10.8965</v>
      </c>
      <c r="G158" s="9">
        <v>5.0602999999999998</v>
      </c>
      <c r="H158" s="9">
        <v>16.732600000000001</v>
      </c>
      <c r="I158" s="9">
        <v>4.2039999999999997</v>
      </c>
      <c r="J158" s="9">
        <v>839.01660000000004</v>
      </c>
      <c r="K158" s="9">
        <v>-57.074199999999998</v>
      </c>
      <c r="L158" s="9">
        <v>1735.1075000000001</v>
      </c>
      <c r="M158" s="9">
        <v>645.49509999999998</v>
      </c>
      <c r="N158" s="9">
        <v>26.179600000000001</v>
      </c>
      <c r="O158" s="9">
        <v>8.9719999999999995</v>
      </c>
      <c r="P158" s="9">
        <v>43.3872</v>
      </c>
      <c r="Q158" s="9">
        <v>12.3954</v>
      </c>
      <c r="R158" s="9">
        <v>115.0913</v>
      </c>
      <c r="S158" s="9">
        <v>41.350200000000001</v>
      </c>
      <c r="T158" s="9">
        <v>188.83240000000001</v>
      </c>
      <c r="U158" s="9">
        <v>53.119100000000003</v>
      </c>
      <c r="V158" s="9">
        <v>-0.1615</v>
      </c>
      <c r="W158" s="9">
        <v>-0.2545</v>
      </c>
      <c r="X158" s="9">
        <v>-6.8400000000000002E-2</v>
      </c>
      <c r="Y158" s="9">
        <v>6.7000000000000004E-2</v>
      </c>
      <c r="Z158" s="9"/>
      <c r="AA158" s="9"/>
      <c r="AB158" s="9"/>
      <c r="AC158" s="9"/>
      <c r="AD158" s="8"/>
      <c r="AE158" s="8"/>
      <c r="AF158" s="8"/>
      <c r="AG158" s="8"/>
    </row>
    <row r="159" spans="1:33" x14ac:dyDescent="0.25">
      <c r="A159" s="8" t="s">
        <v>136</v>
      </c>
      <c r="B159" s="8" t="s">
        <v>163</v>
      </c>
      <c r="C159" s="8" t="s">
        <v>164</v>
      </c>
      <c r="D159" s="8" t="s">
        <v>106</v>
      </c>
      <c r="E159" s="8">
        <v>5</v>
      </c>
      <c r="F159" s="9">
        <v>0.40260000000000001</v>
      </c>
      <c r="G159" s="9">
        <v>0.20630000000000001</v>
      </c>
      <c r="H159" s="9">
        <v>0.5988</v>
      </c>
      <c r="I159" s="9">
        <v>0.1414</v>
      </c>
      <c r="J159" s="9">
        <v>0.32450000000000001</v>
      </c>
      <c r="K159" s="9">
        <v>6.3799999999999996E-2</v>
      </c>
      <c r="L159" s="9">
        <v>0.58520000000000005</v>
      </c>
      <c r="M159" s="9">
        <v>0.18779999999999999</v>
      </c>
      <c r="N159" s="9">
        <v>0.54349999999999998</v>
      </c>
      <c r="O159" s="9">
        <v>0.30640000000000001</v>
      </c>
      <c r="P159" s="9">
        <v>0.78049999999999997</v>
      </c>
      <c r="Q159" s="9">
        <v>0.17069999999999999</v>
      </c>
      <c r="R159" s="9">
        <v>70.405199999999994</v>
      </c>
      <c r="S159" s="9">
        <v>55.393599999999999</v>
      </c>
      <c r="T159" s="9">
        <v>85.416899999999998</v>
      </c>
      <c r="U159" s="9">
        <v>10.813599999999999</v>
      </c>
      <c r="V159" s="9">
        <v>-0.28010000000000002</v>
      </c>
      <c r="W159" s="9">
        <v>-1.0448</v>
      </c>
      <c r="X159" s="9">
        <v>0.48459999999999998</v>
      </c>
      <c r="Y159" s="9">
        <v>0.55089999999999995</v>
      </c>
      <c r="Z159" s="9"/>
      <c r="AA159" s="9"/>
      <c r="AB159" s="9"/>
      <c r="AC159" s="9"/>
      <c r="AD159" s="8"/>
      <c r="AE159" s="8"/>
      <c r="AF159" s="8"/>
      <c r="AG159" s="8"/>
    </row>
    <row r="160" spans="1:33" x14ac:dyDescent="0.25">
      <c r="A160" s="8" t="s">
        <v>136</v>
      </c>
      <c r="B160" s="8" t="s">
        <v>163</v>
      </c>
      <c r="C160" s="8" t="s">
        <v>164</v>
      </c>
      <c r="D160" s="8" t="s">
        <v>99</v>
      </c>
      <c r="E160" s="8">
        <v>5</v>
      </c>
      <c r="F160" s="9">
        <v>3.0737000000000001</v>
      </c>
      <c r="G160" s="9">
        <v>-0.191</v>
      </c>
      <c r="H160" s="9">
        <v>6.3384999999999998</v>
      </c>
      <c r="I160" s="9">
        <v>2.3517000000000001</v>
      </c>
      <c r="J160" s="9">
        <v>274.61810000000003</v>
      </c>
      <c r="K160" s="9">
        <v>-470.66730000000001</v>
      </c>
      <c r="L160" s="9">
        <v>1019.9035</v>
      </c>
      <c r="M160" s="9">
        <v>536.86310000000003</v>
      </c>
      <c r="N160" s="9">
        <v>9.3299000000000003</v>
      </c>
      <c r="O160" s="9">
        <v>-9.6828000000000003</v>
      </c>
      <c r="P160" s="9">
        <v>28.342500000000001</v>
      </c>
      <c r="Q160" s="9">
        <v>13.6957</v>
      </c>
      <c r="R160" s="9">
        <v>51.583799999999997</v>
      </c>
      <c r="S160" s="9">
        <v>41.945700000000002</v>
      </c>
      <c r="T160" s="9">
        <v>61.221899999999998</v>
      </c>
      <c r="U160" s="9">
        <v>6.9428000000000001</v>
      </c>
      <c r="V160" s="9">
        <v>-1.1493</v>
      </c>
      <c r="W160" s="9">
        <v>-2.4691000000000001</v>
      </c>
      <c r="X160" s="9">
        <v>0.1706</v>
      </c>
      <c r="Y160" s="9">
        <v>0.95069999999999999</v>
      </c>
      <c r="Z160" s="9"/>
      <c r="AA160" s="9"/>
      <c r="AB160" s="9"/>
      <c r="AC160" s="9"/>
      <c r="AD160" s="8"/>
      <c r="AE160" s="8"/>
      <c r="AF160" s="8"/>
      <c r="AG160" s="8"/>
    </row>
    <row r="161" spans="1:33" x14ac:dyDescent="0.25">
      <c r="A161" s="8" t="s">
        <v>136</v>
      </c>
      <c r="B161" s="8" t="s">
        <v>163</v>
      </c>
      <c r="C161" s="8" t="s">
        <v>165</v>
      </c>
      <c r="D161" s="8" t="s">
        <v>101</v>
      </c>
      <c r="E161" s="8">
        <v>5</v>
      </c>
      <c r="F161" s="9">
        <v>577.30110000000002</v>
      </c>
      <c r="G161" s="9">
        <v>228.67609999999999</v>
      </c>
      <c r="H161" s="9">
        <v>925.92600000000004</v>
      </c>
      <c r="I161" s="9">
        <v>251.13050000000001</v>
      </c>
      <c r="J161" s="9">
        <v>6888784.8956000004</v>
      </c>
      <c r="K161" s="9">
        <v>-812956.65020000003</v>
      </c>
      <c r="L161" s="9">
        <v>14590526.441500001</v>
      </c>
      <c r="M161" s="9">
        <v>5547915.5927999998</v>
      </c>
      <c r="N161" s="9">
        <v>2410.3191999999999</v>
      </c>
      <c r="O161" s="9">
        <v>968.20619999999997</v>
      </c>
      <c r="P161" s="9">
        <v>3852.4322000000002</v>
      </c>
      <c r="Q161" s="9">
        <v>1038.8198</v>
      </c>
      <c r="R161" s="9">
        <v>24.493600000000001</v>
      </c>
      <c r="S161" s="9">
        <v>17.632999999999999</v>
      </c>
      <c r="T161" s="9">
        <v>31.354299999999999</v>
      </c>
      <c r="U161" s="9">
        <v>4.9420999999999999</v>
      </c>
      <c r="V161" s="9">
        <v>-7.4999999999999997E-3</v>
      </c>
      <c r="W161" s="9">
        <v>-4.02E-2</v>
      </c>
      <c r="X161" s="9">
        <v>2.52E-2</v>
      </c>
      <c r="Y161" s="9">
        <v>2.3599999999999999E-2</v>
      </c>
      <c r="Z161" s="9"/>
      <c r="AA161" s="9"/>
      <c r="AB161" s="9"/>
      <c r="AC161" s="9"/>
      <c r="AD161" s="8"/>
      <c r="AE161" s="8"/>
      <c r="AF161" s="8"/>
      <c r="AG161" s="8"/>
    </row>
    <row r="162" spans="1:33" x14ac:dyDescent="0.25">
      <c r="A162" s="8" t="s">
        <v>136</v>
      </c>
      <c r="B162" s="8" t="s">
        <v>163</v>
      </c>
      <c r="C162" s="8" t="s">
        <v>165</v>
      </c>
      <c r="D162" s="8" t="s">
        <v>100</v>
      </c>
      <c r="E162" s="8">
        <v>5</v>
      </c>
      <c r="F162" s="9">
        <v>24.8003</v>
      </c>
      <c r="G162" s="9">
        <v>9.1617999999999995</v>
      </c>
      <c r="H162" s="9">
        <v>40.438899999999997</v>
      </c>
      <c r="I162" s="9">
        <v>11.2652</v>
      </c>
      <c r="J162" s="9">
        <v>13112.1294</v>
      </c>
      <c r="K162" s="9">
        <v>3003.6136999999999</v>
      </c>
      <c r="L162" s="9">
        <v>23220.645100000002</v>
      </c>
      <c r="M162" s="9">
        <v>7281.6247000000003</v>
      </c>
      <c r="N162" s="9">
        <v>102.6189</v>
      </c>
      <c r="O162" s="9">
        <v>32.085599999999999</v>
      </c>
      <c r="P162" s="9">
        <v>173.15219999999999</v>
      </c>
      <c r="Q162" s="9">
        <v>50.808300000000003</v>
      </c>
      <c r="R162" s="9">
        <v>28.7559</v>
      </c>
      <c r="S162" s="9">
        <v>23.581299999999999</v>
      </c>
      <c r="T162" s="9">
        <v>33.930500000000002</v>
      </c>
      <c r="U162" s="9">
        <v>3.7275</v>
      </c>
      <c r="V162" s="9">
        <v>0.14119999999999999</v>
      </c>
      <c r="W162" s="9">
        <v>-0.25090000000000001</v>
      </c>
      <c r="X162" s="9">
        <v>0.5333</v>
      </c>
      <c r="Y162" s="9">
        <v>0.28239999999999998</v>
      </c>
      <c r="Z162" s="9"/>
      <c r="AA162" s="9"/>
      <c r="AB162" s="9"/>
      <c r="AC162" s="9"/>
      <c r="AD162" s="8"/>
      <c r="AE162" s="8"/>
      <c r="AF162" s="8"/>
      <c r="AG162" s="8"/>
    </row>
    <row r="163" spans="1:33" x14ac:dyDescent="0.25">
      <c r="A163" s="8" t="s">
        <v>136</v>
      </c>
      <c r="B163" s="8" t="s">
        <v>163</v>
      </c>
      <c r="C163" s="8" t="s">
        <v>165</v>
      </c>
      <c r="D163" s="8" t="s">
        <v>102</v>
      </c>
      <c r="E163" s="8">
        <v>5</v>
      </c>
      <c r="F163" s="9">
        <v>1.11E-2</v>
      </c>
      <c r="G163" s="9">
        <v>1.06E-2</v>
      </c>
      <c r="H163" s="9">
        <v>1.15E-2</v>
      </c>
      <c r="I163" s="9">
        <v>2.9999999999999997E-4</v>
      </c>
      <c r="J163" s="9">
        <v>2.9999999999999997E-4</v>
      </c>
      <c r="K163" s="9">
        <v>1E-4</v>
      </c>
      <c r="L163" s="9">
        <v>4.0000000000000002E-4</v>
      </c>
      <c r="M163" s="9">
        <v>1E-4</v>
      </c>
      <c r="N163" s="9">
        <v>1.61E-2</v>
      </c>
      <c r="O163" s="9">
        <v>1.1599999999999999E-2</v>
      </c>
      <c r="P163" s="9">
        <v>2.0500000000000001E-2</v>
      </c>
      <c r="Q163" s="9">
        <v>3.2000000000000002E-3</v>
      </c>
      <c r="R163" s="9">
        <v>33.828600000000002</v>
      </c>
      <c r="S163" s="9">
        <v>18.678699999999999</v>
      </c>
      <c r="T163" s="9">
        <v>48.978499999999997</v>
      </c>
      <c r="U163" s="9">
        <v>10.9131</v>
      </c>
      <c r="V163" s="9">
        <v>8.8499999999999995E-2</v>
      </c>
      <c r="W163" s="9">
        <v>-7.4099999999999999E-2</v>
      </c>
      <c r="X163" s="9">
        <v>0.25109999999999999</v>
      </c>
      <c r="Y163" s="9">
        <v>0.1172</v>
      </c>
      <c r="Z163" s="9"/>
      <c r="AA163" s="9"/>
      <c r="AB163" s="9"/>
      <c r="AC163" s="9"/>
      <c r="AD163" s="8"/>
      <c r="AE163" s="8"/>
      <c r="AF163" s="8"/>
      <c r="AG163" s="8"/>
    </row>
    <row r="164" spans="1:33" x14ac:dyDescent="0.25">
      <c r="A164" s="8" t="s">
        <v>136</v>
      </c>
      <c r="B164" s="8" t="s">
        <v>163</v>
      </c>
      <c r="C164" s="8" t="s">
        <v>165</v>
      </c>
      <c r="D164" s="8" t="s">
        <v>105</v>
      </c>
      <c r="E164" s="8">
        <v>5</v>
      </c>
      <c r="F164" s="9">
        <v>57.869</v>
      </c>
      <c r="G164" s="9">
        <v>49.2804</v>
      </c>
      <c r="H164" s="9">
        <v>66.457599999999999</v>
      </c>
      <c r="I164" s="9">
        <v>6.1867999999999999</v>
      </c>
      <c r="J164" s="9">
        <v>6308.6563999999998</v>
      </c>
      <c r="K164" s="9">
        <v>4474.6253999999999</v>
      </c>
      <c r="L164" s="9">
        <v>8142.6875</v>
      </c>
      <c r="M164" s="9">
        <v>1321.1361999999999</v>
      </c>
      <c r="N164" s="9">
        <v>78.981800000000007</v>
      </c>
      <c r="O164" s="9">
        <v>67.323499999999996</v>
      </c>
      <c r="P164" s="9">
        <v>90.640100000000004</v>
      </c>
      <c r="Q164" s="9">
        <v>8.3979999999999997</v>
      </c>
      <c r="R164" s="9">
        <v>53.2502</v>
      </c>
      <c r="S164" s="9">
        <v>42.593899999999998</v>
      </c>
      <c r="T164" s="9">
        <v>63.906399999999998</v>
      </c>
      <c r="U164" s="9">
        <v>7.6761999999999997</v>
      </c>
      <c r="V164" s="9">
        <v>0.38840000000000002</v>
      </c>
      <c r="W164" s="9">
        <v>0.1986</v>
      </c>
      <c r="X164" s="9">
        <v>0.57830000000000004</v>
      </c>
      <c r="Y164" s="9">
        <v>0.13669999999999999</v>
      </c>
      <c r="Z164" s="9"/>
      <c r="AA164" s="9"/>
      <c r="AB164" s="9"/>
      <c r="AC164" s="9"/>
      <c r="AD164" s="8"/>
      <c r="AE164" s="8"/>
      <c r="AF164" s="8"/>
      <c r="AG164" s="8"/>
    </row>
    <row r="165" spans="1:33" x14ac:dyDescent="0.25">
      <c r="A165" s="8" t="s">
        <v>136</v>
      </c>
      <c r="B165" s="8" t="s">
        <v>163</v>
      </c>
      <c r="C165" s="8" t="s">
        <v>165</v>
      </c>
      <c r="D165" s="8" t="s">
        <v>104</v>
      </c>
      <c r="E165" s="8">
        <v>5</v>
      </c>
      <c r="F165" s="9">
        <v>14.382899999999999</v>
      </c>
      <c r="G165" s="9">
        <v>6.1337000000000002</v>
      </c>
      <c r="H165" s="9">
        <v>22.632200000000001</v>
      </c>
      <c r="I165" s="9">
        <v>5.9423000000000004</v>
      </c>
      <c r="J165" s="9">
        <v>1847.2525000000001</v>
      </c>
      <c r="K165" s="9">
        <v>-2213.5909999999999</v>
      </c>
      <c r="L165" s="9">
        <v>5908.0959000000003</v>
      </c>
      <c r="M165" s="9">
        <v>2925.2107000000001</v>
      </c>
      <c r="N165" s="9">
        <v>32.823900000000002</v>
      </c>
      <c r="O165" s="9">
        <v>-5.6939000000000002</v>
      </c>
      <c r="P165" s="9">
        <v>71.3416</v>
      </c>
      <c r="Q165" s="9">
        <v>27.746099999999998</v>
      </c>
      <c r="R165" s="9">
        <v>58.613599999999998</v>
      </c>
      <c r="S165" s="9">
        <v>45.779699999999998</v>
      </c>
      <c r="T165" s="9">
        <v>71.447500000000005</v>
      </c>
      <c r="U165" s="9">
        <v>9.2447999999999997</v>
      </c>
      <c r="V165" s="9">
        <v>0.25769999999999998</v>
      </c>
      <c r="W165" s="9">
        <v>-4.0300000000000002E-2</v>
      </c>
      <c r="X165" s="9">
        <v>0.55559999999999998</v>
      </c>
      <c r="Y165" s="9">
        <v>0.21460000000000001</v>
      </c>
      <c r="Z165" s="9"/>
      <c r="AA165" s="9"/>
      <c r="AB165" s="9"/>
      <c r="AC165" s="9"/>
      <c r="AD165" s="8"/>
      <c r="AE165" s="8"/>
      <c r="AF165" s="8"/>
      <c r="AG165" s="8"/>
    </row>
    <row r="166" spans="1:33" x14ac:dyDescent="0.25">
      <c r="A166" s="8" t="s">
        <v>136</v>
      </c>
      <c r="B166" s="8" t="s">
        <v>163</v>
      </c>
      <c r="C166" s="8" t="s">
        <v>165</v>
      </c>
      <c r="D166" s="8" t="s">
        <v>103</v>
      </c>
      <c r="E166" s="8">
        <v>5</v>
      </c>
      <c r="F166" s="9">
        <v>7.6390000000000002</v>
      </c>
      <c r="G166" s="9">
        <v>2.1842000000000001</v>
      </c>
      <c r="H166" s="9">
        <v>13.0939</v>
      </c>
      <c r="I166" s="9">
        <v>3.9293999999999998</v>
      </c>
      <c r="J166" s="9">
        <v>660.51580000000001</v>
      </c>
      <c r="K166" s="9">
        <v>-156.02269999999999</v>
      </c>
      <c r="L166" s="9">
        <v>1477.0544</v>
      </c>
      <c r="M166" s="9">
        <v>588.19000000000005</v>
      </c>
      <c r="N166" s="9">
        <v>22.308700000000002</v>
      </c>
      <c r="O166" s="9">
        <v>4.5937999999999999</v>
      </c>
      <c r="P166" s="9">
        <v>40.023600000000002</v>
      </c>
      <c r="Q166" s="9">
        <v>12.7608</v>
      </c>
      <c r="R166" s="9">
        <v>60.2012</v>
      </c>
      <c r="S166" s="9">
        <v>43.346699999999998</v>
      </c>
      <c r="T166" s="9">
        <v>77.055700000000002</v>
      </c>
      <c r="U166" s="9">
        <v>12.1411</v>
      </c>
      <c r="V166" s="9">
        <v>0.2339</v>
      </c>
      <c r="W166" s="9">
        <v>-9.4299999999999995E-2</v>
      </c>
      <c r="X166" s="9">
        <v>0.56200000000000006</v>
      </c>
      <c r="Y166" s="9">
        <v>0.2364</v>
      </c>
      <c r="Z166" s="9"/>
      <c r="AA166" s="9"/>
      <c r="AB166" s="9"/>
      <c r="AC166" s="9"/>
      <c r="AD166" s="8"/>
      <c r="AE166" s="8"/>
      <c r="AF166" s="8"/>
      <c r="AG166" s="8"/>
    </row>
    <row r="167" spans="1:33" x14ac:dyDescent="0.25">
      <c r="A167" s="8" t="s">
        <v>136</v>
      </c>
      <c r="B167" s="8" t="s">
        <v>163</v>
      </c>
      <c r="C167" s="8" t="s">
        <v>165</v>
      </c>
      <c r="D167" s="8" t="s">
        <v>106</v>
      </c>
      <c r="E167" s="8">
        <v>5</v>
      </c>
      <c r="F167" s="9">
        <v>0.32290000000000002</v>
      </c>
      <c r="G167" s="9">
        <v>0.25440000000000002</v>
      </c>
      <c r="H167" s="9">
        <v>0.39129999999999998</v>
      </c>
      <c r="I167" s="9">
        <v>4.9299999999999997E-2</v>
      </c>
      <c r="J167" s="9">
        <v>0.2389</v>
      </c>
      <c r="K167" s="9">
        <v>7.85E-2</v>
      </c>
      <c r="L167" s="9">
        <v>0.3992</v>
      </c>
      <c r="M167" s="9">
        <v>0.11550000000000001</v>
      </c>
      <c r="N167" s="9">
        <v>0.47520000000000001</v>
      </c>
      <c r="O167" s="9">
        <v>0.31669999999999998</v>
      </c>
      <c r="P167" s="9">
        <v>0.63380000000000003</v>
      </c>
      <c r="Q167" s="9">
        <v>0.1142</v>
      </c>
      <c r="R167" s="9">
        <v>72.270499999999998</v>
      </c>
      <c r="S167" s="9">
        <v>36.9221</v>
      </c>
      <c r="T167" s="9">
        <v>107.6189</v>
      </c>
      <c r="U167" s="9">
        <v>25.463000000000001</v>
      </c>
      <c r="V167" s="9">
        <v>-1.67E-2</v>
      </c>
      <c r="W167" s="9">
        <v>-0.50949999999999995</v>
      </c>
      <c r="X167" s="9">
        <v>0.47620000000000001</v>
      </c>
      <c r="Y167" s="9">
        <v>0.35499999999999998</v>
      </c>
      <c r="Z167" s="9"/>
      <c r="AA167" s="9"/>
      <c r="AB167" s="9"/>
      <c r="AC167" s="9"/>
      <c r="AD167" s="8"/>
      <c r="AE167" s="8"/>
      <c r="AF167" s="8"/>
      <c r="AG167" s="8"/>
    </row>
    <row r="168" spans="1:33" x14ac:dyDescent="0.25">
      <c r="A168" s="8" t="s">
        <v>136</v>
      </c>
      <c r="B168" s="8" t="s">
        <v>163</v>
      </c>
      <c r="C168" s="8" t="s">
        <v>165</v>
      </c>
      <c r="D168" s="8" t="s">
        <v>99</v>
      </c>
      <c r="E168" s="8">
        <v>5</v>
      </c>
      <c r="F168" s="9">
        <v>2.3441999999999998</v>
      </c>
      <c r="G168" s="9">
        <v>-0.86129999999999995</v>
      </c>
      <c r="H168" s="9">
        <v>5.5498000000000003</v>
      </c>
      <c r="I168" s="9">
        <v>2.3090999999999999</v>
      </c>
      <c r="J168" s="9">
        <v>270.54149999999998</v>
      </c>
      <c r="K168" s="9">
        <v>-473.0881</v>
      </c>
      <c r="L168" s="9">
        <v>1014.1711</v>
      </c>
      <c r="M168" s="9">
        <v>535.6703</v>
      </c>
      <c r="N168" s="9">
        <v>8.6285000000000007</v>
      </c>
      <c r="O168" s="9">
        <v>-10.8111</v>
      </c>
      <c r="P168" s="9">
        <v>28.068100000000001</v>
      </c>
      <c r="Q168" s="9">
        <v>14.0032</v>
      </c>
      <c r="R168" s="9">
        <v>35.365900000000003</v>
      </c>
      <c r="S168" s="9">
        <v>27.023</v>
      </c>
      <c r="T168" s="9">
        <v>43.708799999999997</v>
      </c>
      <c r="U168" s="9">
        <v>6.0098000000000003</v>
      </c>
      <c r="V168" s="9">
        <v>3.2399999999999998E-2</v>
      </c>
      <c r="W168" s="9">
        <v>-4.5600000000000002E-2</v>
      </c>
      <c r="X168" s="9">
        <v>0.1105</v>
      </c>
      <c r="Y168" s="9">
        <v>5.62E-2</v>
      </c>
      <c r="Z168" s="9"/>
      <c r="AA168" s="9"/>
      <c r="AB168" s="9"/>
      <c r="AC168" s="9"/>
      <c r="AD168" s="8"/>
      <c r="AE168" s="8"/>
      <c r="AF168" s="8"/>
      <c r="AG168" s="8"/>
    </row>
    <row r="169" spans="1:33" x14ac:dyDescent="0.25">
      <c r="A169" s="8" t="s">
        <v>136</v>
      </c>
      <c r="B169" s="8" t="s">
        <v>163</v>
      </c>
      <c r="C169" s="8" t="s">
        <v>131</v>
      </c>
      <c r="D169" s="8" t="s">
        <v>101</v>
      </c>
      <c r="E169" s="8">
        <v>5</v>
      </c>
      <c r="F169" s="9">
        <v>584.75869999999998</v>
      </c>
      <c r="G169" s="9">
        <v>233.20699999999999</v>
      </c>
      <c r="H169" s="9">
        <v>936.31029999999998</v>
      </c>
      <c r="I169" s="9">
        <v>253.23869999999999</v>
      </c>
      <c r="J169" s="9">
        <v>6911368.5125000002</v>
      </c>
      <c r="K169" s="9">
        <v>-738360.36120000004</v>
      </c>
      <c r="L169" s="9">
        <v>14561097.3862</v>
      </c>
      <c r="M169" s="9">
        <v>5510448.4935999997</v>
      </c>
      <c r="N169" s="9">
        <v>2417.8856000000001</v>
      </c>
      <c r="O169" s="9">
        <v>985.12329999999997</v>
      </c>
      <c r="P169" s="9">
        <v>3850.6480000000001</v>
      </c>
      <c r="Q169" s="9">
        <v>1032.0840000000001</v>
      </c>
      <c r="R169" s="9">
        <v>27.597300000000001</v>
      </c>
      <c r="S169" s="9">
        <v>19.107800000000001</v>
      </c>
      <c r="T169" s="9">
        <v>36.0867</v>
      </c>
      <c r="U169" s="9">
        <v>6.1154000000000002</v>
      </c>
      <c r="V169" s="9">
        <v>-1.7000000000000001E-2</v>
      </c>
      <c r="W169" s="9">
        <v>-4.36E-2</v>
      </c>
      <c r="X169" s="9">
        <v>9.4999999999999998E-3</v>
      </c>
      <c r="Y169" s="9">
        <v>1.9099999999999999E-2</v>
      </c>
      <c r="Z169" s="9"/>
      <c r="AA169" s="9"/>
      <c r="AB169" s="9"/>
      <c r="AC169" s="9"/>
      <c r="AD169" s="8"/>
      <c r="AE169" s="8"/>
      <c r="AF169" s="8"/>
      <c r="AG169" s="8"/>
    </row>
    <row r="170" spans="1:33" x14ac:dyDescent="0.25">
      <c r="A170" s="8" t="s">
        <v>136</v>
      </c>
      <c r="B170" s="8" t="s">
        <v>163</v>
      </c>
      <c r="C170" s="8" t="s">
        <v>131</v>
      </c>
      <c r="D170" s="8" t="s">
        <v>100</v>
      </c>
      <c r="E170" s="8">
        <v>5</v>
      </c>
      <c r="F170" s="9">
        <v>25.877800000000001</v>
      </c>
      <c r="G170" s="9">
        <v>10.3582</v>
      </c>
      <c r="H170" s="9">
        <v>41.397300000000001</v>
      </c>
      <c r="I170" s="9">
        <v>11.179399999999999</v>
      </c>
      <c r="J170" s="9">
        <v>13302.652899999999</v>
      </c>
      <c r="K170" s="9">
        <v>3001.1282000000001</v>
      </c>
      <c r="L170" s="9">
        <v>23604.177599999999</v>
      </c>
      <c r="M170" s="9">
        <v>7420.6579000000002</v>
      </c>
      <c r="N170" s="9">
        <v>103.65730000000001</v>
      </c>
      <c r="O170" s="9">
        <v>33.448300000000003</v>
      </c>
      <c r="P170" s="9">
        <v>173.8663</v>
      </c>
      <c r="Q170" s="9">
        <v>50.574800000000003</v>
      </c>
      <c r="R170" s="9">
        <v>36.980800000000002</v>
      </c>
      <c r="S170" s="9">
        <v>25.276900000000001</v>
      </c>
      <c r="T170" s="9">
        <v>48.684800000000003</v>
      </c>
      <c r="U170" s="9">
        <v>8.4308999999999994</v>
      </c>
      <c r="V170" s="9">
        <v>7.0400000000000004E-2</v>
      </c>
      <c r="W170" s="9">
        <v>-0.16</v>
      </c>
      <c r="X170" s="9">
        <v>0.30070000000000002</v>
      </c>
      <c r="Y170" s="9">
        <v>0.16589999999999999</v>
      </c>
      <c r="Z170" s="9"/>
      <c r="AA170" s="9"/>
      <c r="AB170" s="9"/>
      <c r="AC170" s="9"/>
      <c r="AD170" s="8"/>
      <c r="AE170" s="8"/>
      <c r="AF170" s="8"/>
      <c r="AG170" s="8"/>
    </row>
    <row r="171" spans="1:33" x14ac:dyDescent="0.25">
      <c r="A171" s="8" t="s">
        <v>136</v>
      </c>
      <c r="B171" s="8" t="s">
        <v>163</v>
      </c>
      <c r="C171" s="8" t="s">
        <v>131</v>
      </c>
      <c r="D171" s="8" t="s">
        <v>102</v>
      </c>
      <c r="E171" s="8">
        <v>5</v>
      </c>
      <c r="F171" s="9">
        <v>1.17E-2</v>
      </c>
      <c r="G171" s="9">
        <v>1.0500000000000001E-2</v>
      </c>
      <c r="H171" s="9">
        <v>1.29E-2</v>
      </c>
      <c r="I171" s="9">
        <v>8.9999999999999998E-4</v>
      </c>
      <c r="J171" s="9">
        <v>2.9999999999999997E-4</v>
      </c>
      <c r="K171" s="9">
        <v>1E-4</v>
      </c>
      <c r="L171" s="9">
        <v>5.0000000000000001E-4</v>
      </c>
      <c r="M171" s="9">
        <v>1E-4</v>
      </c>
      <c r="N171" s="9">
        <v>1.72E-2</v>
      </c>
      <c r="O171" s="9">
        <v>1.23E-2</v>
      </c>
      <c r="P171" s="9">
        <v>2.2100000000000002E-2</v>
      </c>
      <c r="Q171" s="9">
        <v>3.5000000000000001E-3</v>
      </c>
      <c r="R171" s="9">
        <v>36.688699999999997</v>
      </c>
      <c r="S171" s="9">
        <v>15.016299999999999</v>
      </c>
      <c r="T171" s="9">
        <v>58.360999999999997</v>
      </c>
      <c r="U171" s="9">
        <v>15.611599999999999</v>
      </c>
      <c r="V171" s="9">
        <v>-5.3400000000000003E-2</v>
      </c>
      <c r="W171" s="9">
        <v>-0.38640000000000002</v>
      </c>
      <c r="X171" s="9">
        <v>0.27950000000000003</v>
      </c>
      <c r="Y171" s="9">
        <v>0.23980000000000001</v>
      </c>
      <c r="Z171" s="9"/>
      <c r="AA171" s="9"/>
      <c r="AB171" s="9"/>
      <c r="AC171" s="9"/>
      <c r="AD171" s="8"/>
      <c r="AE171" s="8"/>
      <c r="AF171" s="8"/>
      <c r="AG171" s="8"/>
    </row>
    <row r="172" spans="1:33" x14ac:dyDescent="0.25">
      <c r="A172" s="8" t="s">
        <v>136</v>
      </c>
      <c r="B172" s="8" t="s">
        <v>163</v>
      </c>
      <c r="C172" s="8" t="s">
        <v>131</v>
      </c>
      <c r="D172" s="8" t="s">
        <v>105</v>
      </c>
      <c r="E172" s="8">
        <v>5</v>
      </c>
      <c r="F172" s="9">
        <v>59.234000000000002</v>
      </c>
      <c r="G172" s="9">
        <v>54.243400000000001</v>
      </c>
      <c r="H172" s="9">
        <v>64.224599999999995</v>
      </c>
      <c r="I172" s="9">
        <v>3.5949</v>
      </c>
      <c r="J172" s="9">
        <v>6685.5456000000004</v>
      </c>
      <c r="K172" s="9">
        <v>5262.2413999999999</v>
      </c>
      <c r="L172" s="9">
        <v>8108.8498</v>
      </c>
      <c r="M172" s="9">
        <v>1025.2709</v>
      </c>
      <c r="N172" s="9">
        <v>81.535899999999998</v>
      </c>
      <c r="O172" s="9">
        <v>73.041200000000003</v>
      </c>
      <c r="P172" s="9">
        <v>90.030600000000007</v>
      </c>
      <c r="Q172" s="9">
        <v>6.1191000000000004</v>
      </c>
      <c r="R172" s="9">
        <v>51.936999999999998</v>
      </c>
      <c r="S172" s="9">
        <v>49.0946</v>
      </c>
      <c r="T172" s="9">
        <v>54.779499999999999</v>
      </c>
      <c r="U172" s="9">
        <v>2.0476000000000001</v>
      </c>
      <c r="V172" s="9">
        <v>0.35339999999999999</v>
      </c>
      <c r="W172" s="9">
        <v>0.2261</v>
      </c>
      <c r="X172" s="9">
        <v>0.48060000000000003</v>
      </c>
      <c r="Y172" s="9">
        <v>9.1600000000000001E-2</v>
      </c>
      <c r="Z172" s="9"/>
      <c r="AA172" s="9"/>
      <c r="AB172" s="9"/>
      <c r="AC172" s="9"/>
      <c r="AD172" s="8"/>
      <c r="AE172" s="8"/>
      <c r="AF172" s="8"/>
      <c r="AG172" s="8"/>
    </row>
    <row r="173" spans="1:33" x14ac:dyDescent="0.25">
      <c r="A173" s="8" t="s">
        <v>136</v>
      </c>
      <c r="B173" s="8" t="s">
        <v>163</v>
      </c>
      <c r="C173" s="8" t="s">
        <v>131</v>
      </c>
      <c r="D173" s="8" t="s">
        <v>104</v>
      </c>
      <c r="E173" s="8">
        <v>5</v>
      </c>
      <c r="F173" s="9">
        <v>17.3705</v>
      </c>
      <c r="G173" s="9">
        <v>9.9183000000000003</v>
      </c>
      <c r="H173" s="9">
        <v>24.822800000000001</v>
      </c>
      <c r="I173" s="9">
        <v>5.3681999999999999</v>
      </c>
      <c r="J173" s="9">
        <v>2002.5862999999999</v>
      </c>
      <c r="K173" s="9">
        <v>-2054.0356999999999</v>
      </c>
      <c r="L173" s="9">
        <v>6059.2083000000002</v>
      </c>
      <c r="M173" s="9">
        <v>2922.1698000000001</v>
      </c>
      <c r="N173" s="9">
        <v>36.251800000000003</v>
      </c>
      <c r="O173" s="9">
        <v>-0.17130000000000001</v>
      </c>
      <c r="P173" s="9">
        <v>72.674899999999994</v>
      </c>
      <c r="Q173" s="9">
        <v>26.237200000000001</v>
      </c>
      <c r="R173" s="9">
        <v>76.900000000000006</v>
      </c>
      <c r="S173" s="9">
        <v>50.628300000000003</v>
      </c>
      <c r="T173" s="9">
        <v>103.1718</v>
      </c>
      <c r="U173" s="9">
        <v>18.924800000000001</v>
      </c>
      <c r="V173" s="9">
        <v>-1.24E-2</v>
      </c>
      <c r="W173" s="9">
        <v>-0.1278</v>
      </c>
      <c r="X173" s="9">
        <v>0.10299999999999999</v>
      </c>
      <c r="Y173" s="9">
        <v>8.3099999999999993E-2</v>
      </c>
      <c r="Z173" s="9"/>
      <c r="AA173" s="9"/>
      <c r="AB173" s="9"/>
      <c r="AC173" s="9"/>
      <c r="AD173" s="8"/>
      <c r="AE173" s="8"/>
      <c r="AF173" s="8"/>
      <c r="AG173" s="8"/>
    </row>
    <row r="174" spans="1:33" x14ac:dyDescent="0.25">
      <c r="A174" s="8" t="s">
        <v>136</v>
      </c>
      <c r="B174" s="8" t="s">
        <v>163</v>
      </c>
      <c r="C174" s="8" t="s">
        <v>131</v>
      </c>
      <c r="D174" s="8" t="s">
        <v>103</v>
      </c>
      <c r="E174" s="8">
        <v>5</v>
      </c>
      <c r="F174" s="9">
        <v>8.1080000000000005</v>
      </c>
      <c r="G174" s="9">
        <v>2.7721</v>
      </c>
      <c r="H174" s="9">
        <v>13.443899999999999</v>
      </c>
      <c r="I174" s="9">
        <v>3.8437000000000001</v>
      </c>
      <c r="J174" s="9">
        <v>668.05679999999995</v>
      </c>
      <c r="K174" s="9">
        <v>-145.66210000000001</v>
      </c>
      <c r="L174" s="9">
        <v>1481.7756999999999</v>
      </c>
      <c r="M174" s="9">
        <v>586.15880000000004</v>
      </c>
      <c r="N174" s="9">
        <v>22.7727</v>
      </c>
      <c r="O174" s="9">
        <v>5.8010999999999999</v>
      </c>
      <c r="P174" s="9">
        <v>39.744300000000003</v>
      </c>
      <c r="Q174" s="9">
        <v>12.2254</v>
      </c>
      <c r="R174" s="9">
        <v>69.088499999999996</v>
      </c>
      <c r="S174" s="9">
        <v>51.841200000000001</v>
      </c>
      <c r="T174" s="9">
        <v>86.335899999999995</v>
      </c>
      <c r="U174" s="9">
        <v>12.423999999999999</v>
      </c>
      <c r="V174" s="9">
        <v>0.15340000000000001</v>
      </c>
      <c r="W174" s="9">
        <v>-0.1331</v>
      </c>
      <c r="X174" s="9">
        <v>0.43980000000000002</v>
      </c>
      <c r="Y174" s="9">
        <v>0.2064</v>
      </c>
      <c r="Z174" s="9"/>
      <c r="AA174" s="9"/>
      <c r="AB174" s="9"/>
      <c r="AC174" s="9"/>
      <c r="AD174" s="8"/>
      <c r="AE174" s="8"/>
      <c r="AF174" s="8"/>
      <c r="AG174" s="8"/>
    </row>
    <row r="175" spans="1:33" x14ac:dyDescent="0.25">
      <c r="A175" s="8" t="s">
        <v>136</v>
      </c>
      <c r="B175" s="8" t="s">
        <v>163</v>
      </c>
      <c r="C175" s="8" t="s">
        <v>131</v>
      </c>
      <c r="D175" s="8" t="s">
        <v>106</v>
      </c>
      <c r="E175" s="8">
        <v>5</v>
      </c>
      <c r="F175" s="9">
        <v>0.31459999999999999</v>
      </c>
      <c r="G175" s="9">
        <v>0.2843</v>
      </c>
      <c r="H175" s="9">
        <v>0.3448</v>
      </c>
      <c r="I175" s="9">
        <v>2.18E-2</v>
      </c>
      <c r="J175" s="9">
        <v>0.2092</v>
      </c>
      <c r="K175" s="9">
        <v>0.10780000000000001</v>
      </c>
      <c r="L175" s="9">
        <v>0.31069999999999998</v>
      </c>
      <c r="M175" s="9">
        <v>7.3099999999999998E-2</v>
      </c>
      <c r="N175" s="9">
        <v>0.45129999999999998</v>
      </c>
      <c r="O175" s="9">
        <v>0.34739999999999999</v>
      </c>
      <c r="P175" s="9">
        <v>0.55510000000000004</v>
      </c>
      <c r="Q175" s="9">
        <v>7.4800000000000005E-2</v>
      </c>
      <c r="R175" s="9">
        <v>63.651899999999998</v>
      </c>
      <c r="S175" s="9">
        <v>37.505600000000001</v>
      </c>
      <c r="T175" s="9">
        <v>89.798299999999998</v>
      </c>
      <c r="U175" s="9">
        <v>18.834399999999999</v>
      </c>
      <c r="V175" s="9">
        <v>4.0800000000000003E-2</v>
      </c>
      <c r="W175" s="9">
        <v>-0.49780000000000002</v>
      </c>
      <c r="X175" s="9">
        <v>0.57940000000000003</v>
      </c>
      <c r="Y175" s="9">
        <v>0.38800000000000001</v>
      </c>
      <c r="Z175" s="9"/>
      <c r="AA175" s="9"/>
      <c r="AB175" s="9"/>
      <c r="AC175" s="9"/>
      <c r="AD175" s="8"/>
      <c r="AE175" s="8"/>
      <c r="AF175" s="8"/>
      <c r="AG175" s="8"/>
    </row>
    <row r="176" spans="1:33" x14ac:dyDescent="0.25">
      <c r="A176" s="8" t="s">
        <v>136</v>
      </c>
      <c r="B176" s="8" t="s">
        <v>163</v>
      </c>
      <c r="C176" s="8" t="s">
        <v>131</v>
      </c>
      <c r="D176" s="8" t="s">
        <v>99</v>
      </c>
      <c r="E176" s="8">
        <v>5</v>
      </c>
      <c r="F176" s="9">
        <v>2.4281999999999999</v>
      </c>
      <c r="G176" s="9">
        <v>-0.77549999999999997</v>
      </c>
      <c r="H176" s="9">
        <v>5.6319999999999997</v>
      </c>
      <c r="I176" s="9">
        <v>2.3077999999999999</v>
      </c>
      <c r="J176" s="9">
        <v>273.22840000000002</v>
      </c>
      <c r="K176" s="9">
        <v>-476.76420000000002</v>
      </c>
      <c r="L176" s="9">
        <v>1023.221</v>
      </c>
      <c r="M176" s="9">
        <v>540.25379999999996</v>
      </c>
      <c r="N176" s="9">
        <v>8.7567000000000004</v>
      </c>
      <c r="O176" s="9">
        <v>-10.705500000000001</v>
      </c>
      <c r="P176" s="9">
        <v>28.219000000000001</v>
      </c>
      <c r="Q176" s="9">
        <v>14.019500000000001</v>
      </c>
      <c r="R176" s="9">
        <v>38.344999999999999</v>
      </c>
      <c r="S176" s="9">
        <v>22.139900000000001</v>
      </c>
      <c r="T176" s="9">
        <v>54.550199999999997</v>
      </c>
      <c r="U176" s="9">
        <v>11.673299999999999</v>
      </c>
      <c r="V176" s="9">
        <v>-9.7600000000000006E-2</v>
      </c>
      <c r="W176" s="9">
        <v>-0.29170000000000001</v>
      </c>
      <c r="X176" s="9">
        <v>9.6600000000000005E-2</v>
      </c>
      <c r="Y176" s="9">
        <v>0.1399</v>
      </c>
      <c r="Z176" s="9"/>
      <c r="AA176" s="9"/>
      <c r="AB176" s="9"/>
      <c r="AC176" s="9"/>
      <c r="AD176" s="8"/>
      <c r="AE176" s="8"/>
      <c r="AF176" s="8"/>
      <c r="AG176" s="8"/>
    </row>
    <row r="177" spans="1:33" x14ac:dyDescent="0.25">
      <c r="A177" s="8" t="s">
        <v>136</v>
      </c>
      <c r="B177" s="8" t="s">
        <v>163</v>
      </c>
      <c r="C177" s="8" t="s">
        <v>132</v>
      </c>
      <c r="D177" s="8" t="s">
        <v>101</v>
      </c>
      <c r="E177" s="8">
        <v>5</v>
      </c>
      <c r="F177" s="9">
        <v>580.40750000000003</v>
      </c>
      <c r="G177" s="9">
        <v>225.15010000000001</v>
      </c>
      <c r="H177" s="9">
        <v>935.66489999999999</v>
      </c>
      <c r="I177" s="9">
        <v>255.90809999999999</v>
      </c>
      <c r="J177" s="9">
        <v>6889920.875</v>
      </c>
      <c r="K177" s="9">
        <v>-758623.06229999999</v>
      </c>
      <c r="L177" s="9">
        <v>14538464.8123</v>
      </c>
      <c r="M177" s="9">
        <v>5509594.9298</v>
      </c>
      <c r="N177" s="9">
        <v>2412.2377999999999</v>
      </c>
      <c r="O177" s="9">
        <v>975.55870000000004</v>
      </c>
      <c r="P177" s="9">
        <v>3848.9169999999999</v>
      </c>
      <c r="Q177" s="9">
        <v>1034.9055000000001</v>
      </c>
      <c r="R177" s="9">
        <v>26.059899999999999</v>
      </c>
      <c r="S177" s="9">
        <v>18.601900000000001</v>
      </c>
      <c r="T177" s="9">
        <v>33.517899999999997</v>
      </c>
      <c r="U177" s="9">
        <v>5.3723000000000001</v>
      </c>
      <c r="V177" s="9">
        <v>-9.1999999999999998E-3</v>
      </c>
      <c r="W177" s="9">
        <v>-5.0299999999999997E-2</v>
      </c>
      <c r="X177" s="9">
        <v>3.2000000000000001E-2</v>
      </c>
      <c r="Y177" s="9">
        <v>2.9600000000000001E-2</v>
      </c>
      <c r="Z177" s="9"/>
      <c r="AA177" s="9"/>
      <c r="AB177" s="9"/>
      <c r="AC177" s="9"/>
      <c r="AD177" s="8"/>
      <c r="AE177" s="8"/>
      <c r="AF177" s="8"/>
      <c r="AG177" s="8"/>
    </row>
    <row r="178" spans="1:33" x14ac:dyDescent="0.25">
      <c r="A178" s="8" t="s">
        <v>136</v>
      </c>
      <c r="B178" s="8" t="s">
        <v>163</v>
      </c>
      <c r="C178" s="8" t="s">
        <v>132</v>
      </c>
      <c r="D178" s="8" t="s">
        <v>100</v>
      </c>
      <c r="E178" s="8">
        <v>5</v>
      </c>
      <c r="F178" s="9">
        <v>24.718599999999999</v>
      </c>
      <c r="G178" s="9">
        <v>8.9519000000000002</v>
      </c>
      <c r="H178" s="9">
        <v>40.485300000000002</v>
      </c>
      <c r="I178" s="9">
        <v>11.3575</v>
      </c>
      <c r="J178" s="9">
        <v>13257.859200000001</v>
      </c>
      <c r="K178" s="9">
        <v>3012.8258000000001</v>
      </c>
      <c r="L178" s="9">
        <v>23502.892500000002</v>
      </c>
      <c r="M178" s="9">
        <v>7379.9647000000004</v>
      </c>
      <c r="N178" s="9">
        <v>103.1652</v>
      </c>
      <c r="O178" s="9">
        <v>32.178199999999997</v>
      </c>
      <c r="P178" s="9">
        <v>174.15209999999999</v>
      </c>
      <c r="Q178" s="9">
        <v>51.135100000000001</v>
      </c>
      <c r="R178" s="9">
        <v>28.593900000000001</v>
      </c>
      <c r="S178" s="9">
        <v>20.8139</v>
      </c>
      <c r="T178" s="9">
        <v>36.373899999999999</v>
      </c>
      <c r="U178" s="9">
        <v>5.6043000000000003</v>
      </c>
      <c r="V178" s="9">
        <v>0.13239999999999999</v>
      </c>
      <c r="W178" s="9">
        <v>-0.26240000000000002</v>
      </c>
      <c r="X178" s="9">
        <v>0.5272</v>
      </c>
      <c r="Y178" s="9">
        <v>0.28439999999999999</v>
      </c>
      <c r="Z178" s="9"/>
      <c r="AA178" s="9"/>
      <c r="AB178" s="9"/>
      <c r="AC178" s="9"/>
      <c r="AD178" s="8"/>
      <c r="AE178" s="8"/>
      <c r="AF178" s="8"/>
      <c r="AG178" s="8"/>
    </row>
    <row r="179" spans="1:33" x14ac:dyDescent="0.25">
      <c r="A179" s="8" t="s">
        <v>136</v>
      </c>
      <c r="B179" s="8" t="s">
        <v>163</v>
      </c>
      <c r="C179" s="8" t="s">
        <v>132</v>
      </c>
      <c r="D179" s="8" t="s">
        <v>102</v>
      </c>
      <c r="E179" s="8">
        <v>5</v>
      </c>
      <c r="F179" s="9">
        <v>1.2699999999999999E-2</v>
      </c>
      <c r="G179" s="9">
        <v>1.11E-2</v>
      </c>
      <c r="H179" s="9">
        <v>1.43E-2</v>
      </c>
      <c r="I179" s="9">
        <v>1.1000000000000001E-3</v>
      </c>
      <c r="J179" s="9">
        <v>2.9999999999999997E-4</v>
      </c>
      <c r="K179" s="9">
        <v>2.0000000000000001E-4</v>
      </c>
      <c r="L179" s="9">
        <v>5.0000000000000001E-4</v>
      </c>
      <c r="M179" s="9">
        <v>1E-4</v>
      </c>
      <c r="N179" s="9">
        <v>1.84E-2</v>
      </c>
      <c r="O179" s="9">
        <v>1.5800000000000002E-2</v>
      </c>
      <c r="P179" s="9">
        <v>2.1100000000000001E-2</v>
      </c>
      <c r="Q179" s="9">
        <v>1.9E-3</v>
      </c>
      <c r="R179" s="9">
        <v>38.919499999999999</v>
      </c>
      <c r="S179" s="9">
        <v>20.414400000000001</v>
      </c>
      <c r="T179" s="9">
        <v>57.424599999999998</v>
      </c>
      <c r="U179" s="9">
        <v>13.3301</v>
      </c>
      <c r="V179" s="9">
        <v>-0.30609999999999998</v>
      </c>
      <c r="W179" s="9">
        <v>-0.89029999999999998</v>
      </c>
      <c r="X179" s="9">
        <v>0.27810000000000001</v>
      </c>
      <c r="Y179" s="9">
        <v>0.42080000000000001</v>
      </c>
      <c r="Z179" s="9"/>
      <c r="AA179" s="9"/>
      <c r="AB179" s="9"/>
      <c r="AC179" s="9"/>
      <c r="AD179" s="8"/>
      <c r="AE179" s="8"/>
      <c r="AF179" s="8"/>
      <c r="AG179" s="8"/>
    </row>
    <row r="180" spans="1:33" x14ac:dyDescent="0.25">
      <c r="A180" s="8" t="s">
        <v>136</v>
      </c>
      <c r="B180" s="8" t="s">
        <v>163</v>
      </c>
      <c r="C180" s="8" t="s">
        <v>132</v>
      </c>
      <c r="D180" s="8" t="s">
        <v>105</v>
      </c>
      <c r="E180" s="8">
        <v>5</v>
      </c>
      <c r="F180" s="9">
        <v>58.809699999999999</v>
      </c>
      <c r="G180" s="9">
        <v>49.392099999999999</v>
      </c>
      <c r="H180" s="9">
        <v>68.227199999999996</v>
      </c>
      <c r="I180" s="9">
        <v>6.7839</v>
      </c>
      <c r="J180" s="9">
        <v>6654.1081000000004</v>
      </c>
      <c r="K180" s="9">
        <v>5402.0456999999997</v>
      </c>
      <c r="L180" s="9">
        <v>7906.1704</v>
      </c>
      <c r="M180" s="9">
        <v>901.91759999999999</v>
      </c>
      <c r="N180" s="9">
        <v>81.3733</v>
      </c>
      <c r="O180" s="9">
        <v>73.460300000000004</v>
      </c>
      <c r="P180" s="9">
        <v>89.286299999999997</v>
      </c>
      <c r="Q180" s="9">
        <v>5.7000999999999999</v>
      </c>
      <c r="R180" s="9">
        <v>55.458399999999997</v>
      </c>
      <c r="S180" s="9">
        <v>45.423999999999999</v>
      </c>
      <c r="T180" s="9">
        <v>65.492800000000003</v>
      </c>
      <c r="U180" s="9">
        <v>7.2282000000000002</v>
      </c>
      <c r="V180" s="9">
        <v>0.35620000000000002</v>
      </c>
      <c r="W180" s="9">
        <v>0.23</v>
      </c>
      <c r="X180" s="9">
        <v>0.48230000000000001</v>
      </c>
      <c r="Y180" s="9">
        <v>9.0899999999999995E-2</v>
      </c>
      <c r="Z180" s="9"/>
      <c r="AA180" s="9"/>
      <c r="AB180" s="9"/>
      <c r="AC180" s="9"/>
      <c r="AD180" s="8"/>
      <c r="AE180" s="8"/>
      <c r="AF180" s="8"/>
      <c r="AG180" s="8"/>
    </row>
    <row r="181" spans="1:33" x14ac:dyDescent="0.25">
      <c r="A181" s="8" t="s">
        <v>136</v>
      </c>
      <c r="B181" s="8" t="s">
        <v>163</v>
      </c>
      <c r="C181" s="8" t="s">
        <v>132</v>
      </c>
      <c r="D181" s="8" t="s">
        <v>104</v>
      </c>
      <c r="E181" s="8">
        <v>5</v>
      </c>
      <c r="F181" s="9">
        <v>15.8889</v>
      </c>
      <c r="G181" s="9">
        <v>7.8632</v>
      </c>
      <c r="H181" s="9">
        <v>23.9146</v>
      </c>
      <c r="I181" s="9">
        <v>5.7812999999999999</v>
      </c>
      <c r="J181" s="9">
        <v>1876.5418</v>
      </c>
      <c r="K181" s="9">
        <v>-2112.3332</v>
      </c>
      <c r="L181" s="9">
        <v>5865.4169000000002</v>
      </c>
      <c r="M181" s="9">
        <v>2873.3685999999998</v>
      </c>
      <c r="N181" s="9">
        <v>33.911200000000001</v>
      </c>
      <c r="O181" s="9">
        <v>-3.5083000000000002</v>
      </c>
      <c r="P181" s="9">
        <v>71.330699999999993</v>
      </c>
      <c r="Q181" s="9">
        <v>26.954999999999998</v>
      </c>
      <c r="R181" s="9">
        <v>74.423599999999993</v>
      </c>
      <c r="S181" s="9">
        <v>43.609699999999997</v>
      </c>
      <c r="T181" s="9">
        <v>105.2376</v>
      </c>
      <c r="U181" s="9">
        <v>22.1967</v>
      </c>
      <c r="V181" s="9">
        <v>0.17510000000000001</v>
      </c>
      <c r="W181" s="9">
        <v>-5.9200000000000003E-2</v>
      </c>
      <c r="X181" s="9">
        <v>0.40939999999999999</v>
      </c>
      <c r="Y181" s="9">
        <v>0.16880000000000001</v>
      </c>
      <c r="Z181" s="9"/>
      <c r="AA181" s="9"/>
      <c r="AB181" s="9"/>
      <c r="AC181" s="9"/>
      <c r="AD181" s="8"/>
      <c r="AE181" s="8"/>
      <c r="AF181" s="8"/>
      <c r="AG181" s="8"/>
    </row>
    <row r="182" spans="1:33" x14ac:dyDescent="0.25">
      <c r="A182" s="8" t="s">
        <v>136</v>
      </c>
      <c r="B182" s="8" t="s">
        <v>163</v>
      </c>
      <c r="C182" s="8" t="s">
        <v>132</v>
      </c>
      <c r="D182" s="8" t="s">
        <v>103</v>
      </c>
      <c r="E182" s="8">
        <v>5</v>
      </c>
      <c r="F182" s="9">
        <v>9.3497000000000003</v>
      </c>
      <c r="G182" s="9">
        <v>3.8978999999999999</v>
      </c>
      <c r="H182" s="9">
        <v>14.801500000000001</v>
      </c>
      <c r="I182" s="9">
        <v>3.9272</v>
      </c>
      <c r="J182" s="9">
        <v>720.63580000000002</v>
      </c>
      <c r="K182" s="9">
        <v>-119.9628</v>
      </c>
      <c r="L182" s="9">
        <v>1561.2344000000001</v>
      </c>
      <c r="M182" s="9">
        <v>605.52149999999995</v>
      </c>
      <c r="N182" s="9">
        <v>23.883600000000001</v>
      </c>
      <c r="O182" s="9">
        <v>6.8695000000000004</v>
      </c>
      <c r="P182" s="9">
        <v>40.8977</v>
      </c>
      <c r="Q182" s="9">
        <v>12.256</v>
      </c>
      <c r="R182" s="9">
        <v>98.379300000000001</v>
      </c>
      <c r="S182" s="9">
        <v>74.110500000000002</v>
      </c>
      <c r="T182" s="9">
        <v>122.6482</v>
      </c>
      <c r="U182" s="9">
        <v>17.481999999999999</v>
      </c>
      <c r="V182" s="9">
        <v>0.06</v>
      </c>
      <c r="W182" s="9">
        <v>-0.13869999999999999</v>
      </c>
      <c r="X182" s="9">
        <v>0.25879999999999997</v>
      </c>
      <c r="Y182" s="9">
        <v>0.1431</v>
      </c>
      <c r="Z182" s="9"/>
      <c r="AA182" s="9"/>
      <c r="AB182" s="9"/>
      <c r="AC182" s="9"/>
      <c r="AD182" s="8"/>
      <c r="AE182" s="8"/>
      <c r="AF182" s="8"/>
      <c r="AG182" s="8"/>
    </row>
    <row r="183" spans="1:33" x14ac:dyDescent="0.25">
      <c r="A183" s="8" t="s">
        <v>136</v>
      </c>
      <c r="B183" s="8" t="s">
        <v>163</v>
      </c>
      <c r="C183" s="8" t="s">
        <v>132</v>
      </c>
      <c r="D183" s="8" t="s">
        <v>106</v>
      </c>
      <c r="E183" s="8">
        <v>5</v>
      </c>
      <c r="F183" s="9">
        <v>0.32369999999999999</v>
      </c>
      <c r="G183" s="9">
        <v>0.2974</v>
      </c>
      <c r="H183" s="9">
        <v>0.35010000000000002</v>
      </c>
      <c r="I183" s="9">
        <v>1.9E-2</v>
      </c>
      <c r="J183" s="9">
        <v>0.20349999999999999</v>
      </c>
      <c r="K183" s="9">
        <v>0.1389</v>
      </c>
      <c r="L183" s="9">
        <v>0.26800000000000002</v>
      </c>
      <c r="M183" s="9">
        <v>4.65E-2</v>
      </c>
      <c r="N183" s="9">
        <v>0.4481</v>
      </c>
      <c r="O183" s="9">
        <v>0.37669999999999998</v>
      </c>
      <c r="P183" s="9">
        <v>0.51959999999999995</v>
      </c>
      <c r="Q183" s="9">
        <v>5.1400000000000001E-2</v>
      </c>
      <c r="R183" s="9">
        <v>69.227199999999996</v>
      </c>
      <c r="S183" s="9">
        <v>34.5075</v>
      </c>
      <c r="T183" s="9">
        <v>103.9468</v>
      </c>
      <c r="U183" s="9">
        <v>25.010200000000001</v>
      </c>
      <c r="V183" s="9">
        <v>8.8599999999999998E-2</v>
      </c>
      <c r="W183" s="9">
        <v>-0.2223</v>
      </c>
      <c r="X183" s="9">
        <v>0.39950000000000002</v>
      </c>
      <c r="Y183" s="9">
        <v>0.22389999999999999</v>
      </c>
      <c r="Z183" s="9"/>
      <c r="AA183" s="9"/>
      <c r="AB183" s="9"/>
      <c r="AC183" s="9"/>
      <c r="AD183" s="8"/>
      <c r="AE183" s="8"/>
      <c r="AF183" s="8"/>
      <c r="AG183" s="8"/>
    </row>
    <row r="184" spans="1:33" x14ac:dyDescent="0.25">
      <c r="A184" s="8" t="s">
        <v>136</v>
      </c>
      <c r="B184" s="8" t="s">
        <v>163</v>
      </c>
      <c r="C184" s="8" t="s">
        <v>132</v>
      </c>
      <c r="D184" s="8" t="s">
        <v>99</v>
      </c>
      <c r="E184" s="8">
        <v>5</v>
      </c>
      <c r="F184" s="9">
        <v>2.3359999999999999</v>
      </c>
      <c r="G184" s="9">
        <v>-0.89510000000000001</v>
      </c>
      <c r="H184" s="9">
        <v>5.5670999999999999</v>
      </c>
      <c r="I184" s="9">
        <v>2.3275000000000001</v>
      </c>
      <c r="J184" s="9">
        <v>271.90170000000001</v>
      </c>
      <c r="K184" s="9">
        <v>-475.34410000000003</v>
      </c>
      <c r="L184" s="9">
        <v>1019.1475</v>
      </c>
      <c r="M184" s="9">
        <v>538.27520000000004</v>
      </c>
      <c r="N184" s="9">
        <v>8.6559000000000008</v>
      </c>
      <c r="O184" s="9">
        <v>-10.8276</v>
      </c>
      <c r="P184" s="9">
        <v>28.139399999999998</v>
      </c>
      <c r="Q184" s="9">
        <v>14.0349</v>
      </c>
      <c r="R184" s="9">
        <v>35.962800000000001</v>
      </c>
      <c r="S184" s="9">
        <v>25.503399999999999</v>
      </c>
      <c r="T184" s="9">
        <v>46.4221</v>
      </c>
      <c r="U184" s="9">
        <v>7.5343999999999998</v>
      </c>
      <c r="V184" s="9">
        <v>2.5899999999999999E-2</v>
      </c>
      <c r="W184" s="9">
        <v>-6.54E-2</v>
      </c>
      <c r="X184" s="9">
        <v>0.1172</v>
      </c>
      <c r="Y184" s="9">
        <v>6.5799999999999997E-2</v>
      </c>
      <c r="Z184" s="9"/>
      <c r="AA184" s="9"/>
      <c r="AB184" s="9"/>
      <c r="AC184" s="9"/>
      <c r="AD184" s="8"/>
      <c r="AE184" s="8"/>
      <c r="AF184" s="8"/>
      <c r="AG184" s="8"/>
    </row>
    <row r="185" spans="1:33" x14ac:dyDescent="0.25">
      <c r="A185" s="8" t="s">
        <v>136</v>
      </c>
      <c r="B185" s="8" t="s">
        <v>163</v>
      </c>
      <c r="C185" s="8" t="s">
        <v>133</v>
      </c>
      <c r="D185" s="8" t="s">
        <v>101</v>
      </c>
      <c r="E185" s="8">
        <v>5</v>
      </c>
      <c r="F185" s="9">
        <v>607.50829999999996</v>
      </c>
      <c r="G185" s="9">
        <v>253.5034</v>
      </c>
      <c r="H185" s="9">
        <v>961.51319999999998</v>
      </c>
      <c r="I185" s="9">
        <v>255.0059</v>
      </c>
      <c r="J185" s="9">
        <v>7104126</v>
      </c>
      <c r="K185" s="9">
        <v>-798086.71829999995</v>
      </c>
      <c r="L185" s="9">
        <v>15006338.7183</v>
      </c>
      <c r="M185" s="9">
        <v>5692324.1187000005</v>
      </c>
      <c r="N185" s="9">
        <v>2452.3670999999999</v>
      </c>
      <c r="O185" s="9">
        <v>1003.006</v>
      </c>
      <c r="P185" s="9">
        <v>3901.7283000000002</v>
      </c>
      <c r="Q185" s="9">
        <v>1044.0409</v>
      </c>
      <c r="R185" s="9">
        <v>36.665599999999998</v>
      </c>
      <c r="S185" s="9">
        <v>19.391300000000001</v>
      </c>
      <c r="T185" s="9">
        <v>53.939900000000002</v>
      </c>
      <c r="U185" s="9">
        <v>12.4435</v>
      </c>
      <c r="V185" s="9">
        <v>-4.99E-2</v>
      </c>
      <c r="W185" s="9">
        <v>-6.1499999999999999E-2</v>
      </c>
      <c r="X185" s="9">
        <v>-3.8199999999999998E-2</v>
      </c>
      <c r="Y185" s="9">
        <v>8.3999999999999995E-3</v>
      </c>
      <c r="Z185" s="9"/>
      <c r="AA185" s="9"/>
      <c r="AB185" s="9"/>
      <c r="AC185" s="9"/>
      <c r="AD185" s="8"/>
      <c r="AE185" s="8"/>
      <c r="AF185" s="8"/>
      <c r="AG185" s="8"/>
    </row>
    <row r="186" spans="1:33" x14ac:dyDescent="0.25">
      <c r="A186" s="8" t="s">
        <v>136</v>
      </c>
      <c r="B186" s="8" t="s">
        <v>163</v>
      </c>
      <c r="C186" s="8" t="s">
        <v>133</v>
      </c>
      <c r="D186" s="8" t="s">
        <v>100</v>
      </c>
      <c r="E186" s="8">
        <v>5</v>
      </c>
      <c r="F186" s="9">
        <v>28.545200000000001</v>
      </c>
      <c r="G186" s="9">
        <v>12.7301</v>
      </c>
      <c r="H186" s="9">
        <v>44.360300000000002</v>
      </c>
      <c r="I186" s="9">
        <v>11.392300000000001</v>
      </c>
      <c r="J186" s="9">
        <v>13711.0466</v>
      </c>
      <c r="K186" s="9">
        <v>3244.3566000000001</v>
      </c>
      <c r="L186" s="9">
        <v>24177.736700000001</v>
      </c>
      <c r="M186" s="9">
        <v>7539.6341000000002</v>
      </c>
      <c r="N186" s="9">
        <v>105.6915</v>
      </c>
      <c r="O186" s="9">
        <v>35.722499999999997</v>
      </c>
      <c r="P186" s="9">
        <v>175.66050000000001</v>
      </c>
      <c r="Q186" s="9">
        <v>50.401899999999998</v>
      </c>
      <c r="R186" s="9">
        <v>67.456299999999999</v>
      </c>
      <c r="S186" s="9">
        <v>56.8874</v>
      </c>
      <c r="T186" s="9">
        <v>78.025300000000001</v>
      </c>
      <c r="U186" s="9">
        <v>7.6132999999999997</v>
      </c>
      <c r="V186" s="9">
        <v>-5.6399999999999999E-2</v>
      </c>
      <c r="W186" s="9">
        <v>-9.1300000000000006E-2</v>
      </c>
      <c r="X186" s="9">
        <v>-2.1499999999999998E-2</v>
      </c>
      <c r="Y186" s="9">
        <v>2.5100000000000001E-2</v>
      </c>
      <c r="Z186" s="9"/>
      <c r="AA186" s="9"/>
      <c r="AB186" s="9"/>
      <c r="AC186" s="9"/>
      <c r="AD186" s="8"/>
      <c r="AE186" s="8"/>
      <c r="AF186" s="8"/>
      <c r="AG186" s="8"/>
    </row>
    <row r="187" spans="1:33" x14ac:dyDescent="0.25">
      <c r="A187" s="8" t="s">
        <v>136</v>
      </c>
      <c r="B187" s="8" t="s">
        <v>163</v>
      </c>
      <c r="C187" s="8" t="s">
        <v>133</v>
      </c>
      <c r="D187" s="8" t="s">
        <v>102</v>
      </c>
      <c r="E187" s="8">
        <v>5</v>
      </c>
      <c r="F187" s="9">
        <v>1.24E-2</v>
      </c>
      <c r="G187" s="9">
        <v>9.9000000000000008E-3</v>
      </c>
      <c r="H187" s="9">
        <v>1.49E-2</v>
      </c>
      <c r="I187" s="9">
        <v>1.8E-3</v>
      </c>
      <c r="J187" s="9">
        <v>2.9999999999999997E-4</v>
      </c>
      <c r="K187" s="9">
        <v>1E-4</v>
      </c>
      <c r="L187" s="9">
        <v>5.9999999999999995E-4</v>
      </c>
      <c r="M187" s="9">
        <v>2.0000000000000001E-4</v>
      </c>
      <c r="N187" s="9">
        <v>1.7600000000000001E-2</v>
      </c>
      <c r="O187" s="9">
        <v>1.09E-2</v>
      </c>
      <c r="P187" s="9">
        <v>2.4199999999999999E-2</v>
      </c>
      <c r="Q187" s="9">
        <v>4.7999999999999996E-3</v>
      </c>
      <c r="R187" s="9">
        <v>38.3142</v>
      </c>
      <c r="S187" s="9">
        <v>20.0626</v>
      </c>
      <c r="T187" s="9">
        <v>56.565800000000003</v>
      </c>
      <c r="U187" s="9">
        <v>13.147399999999999</v>
      </c>
      <c r="V187" s="9">
        <v>-5.8599999999999999E-2</v>
      </c>
      <c r="W187" s="9">
        <v>-0.15679999999999999</v>
      </c>
      <c r="X187" s="9">
        <v>3.9699999999999999E-2</v>
      </c>
      <c r="Y187" s="9">
        <v>7.0699999999999999E-2</v>
      </c>
      <c r="Z187" s="9"/>
      <c r="AA187" s="9"/>
      <c r="AB187" s="9"/>
      <c r="AC187" s="9"/>
      <c r="AD187" s="8"/>
      <c r="AE187" s="8"/>
      <c r="AF187" s="8"/>
      <c r="AG187" s="8"/>
    </row>
    <row r="188" spans="1:33" x14ac:dyDescent="0.25">
      <c r="A188" s="8" t="s">
        <v>136</v>
      </c>
      <c r="B188" s="8" t="s">
        <v>163</v>
      </c>
      <c r="C188" s="8" t="s">
        <v>133</v>
      </c>
      <c r="D188" s="8" t="s">
        <v>105</v>
      </c>
      <c r="E188" s="8">
        <v>5</v>
      </c>
      <c r="F188" s="9">
        <v>75.036000000000001</v>
      </c>
      <c r="G188" s="9">
        <v>74.224900000000005</v>
      </c>
      <c r="H188" s="9">
        <v>75.847099999999998</v>
      </c>
      <c r="I188" s="9">
        <v>0.58430000000000004</v>
      </c>
      <c r="J188" s="9">
        <v>10466.538500000001</v>
      </c>
      <c r="K188" s="9">
        <v>9232.7931000000008</v>
      </c>
      <c r="L188" s="9">
        <v>11700.2839</v>
      </c>
      <c r="M188" s="9">
        <v>888.72310000000004</v>
      </c>
      <c r="N188" s="9">
        <v>102.21210000000001</v>
      </c>
      <c r="O188" s="9">
        <v>96.124899999999997</v>
      </c>
      <c r="P188" s="9">
        <v>108.2993</v>
      </c>
      <c r="Q188" s="9">
        <v>4.3849</v>
      </c>
      <c r="R188" s="9">
        <v>80.895700000000005</v>
      </c>
      <c r="S188" s="9">
        <v>65.747799999999998</v>
      </c>
      <c r="T188" s="9">
        <v>96.043499999999995</v>
      </c>
      <c r="U188" s="9">
        <v>10.9117</v>
      </c>
      <c r="V188" s="9">
        <v>-9.7000000000000003E-3</v>
      </c>
      <c r="W188" s="9">
        <v>-2.4799999999999999E-2</v>
      </c>
      <c r="X188" s="9">
        <v>5.4000000000000003E-3</v>
      </c>
      <c r="Y188" s="9">
        <v>1.09E-2</v>
      </c>
      <c r="Z188" s="9"/>
      <c r="AA188" s="9"/>
      <c r="AB188" s="9"/>
      <c r="AC188" s="9"/>
      <c r="AD188" s="8"/>
      <c r="AE188" s="8"/>
      <c r="AF188" s="8"/>
      <c r="AG188" s="8"/>
    </row>
    <row r="189" spans="1:33" x14ac:dyDescent="0.25">
      <c r="A189" s="8" t="s">
        <v>136</v>
      </c>
      <c r="B189" s="8" t="s">
        <v>163</v>
      </c>
      <c r="C189" s="8" t="s">
        <v>133</v>
      </c>
      <c r="D189" s="8" t="s">
        <v>104</v>
      </c>
      <c r="E189" s="8">
        <v>5</v>
      </c>
      <c r="F189" s="9">
        <v>18.280200000000001</v>
      </c>
      <c r="G189" s="9">
        <v>10.0906</v>
      </c>
      <c r="H189" s="9">
        <v>26.469799999999999</v>
      </c>
      <c r="I189" s="9">
        <v>5.8994</v>
      </c>
      <c r="J189" s="9">
        <v>2000.2379000000001</v>
      </c>
      <c r="K189" s="9">
        <v>-1997.4602</v>
      </c>
      <c r="L189" s="9">
        <v>5997.9359999999997</v>
      </c>
      <c r="M189" s="9">
        <v>2879.7242000000001</v>
      </c>
      <c r="N189" s="9">
        <v>36.4283</v>
      </c>
      <c r="O189" s="9">
        <v>0.4088</v>
      </c>
      <c r="P189" s="9">
        <v>72.447699999999998</v>
      </c>
      <c r="Q189" s="9">
        <v>25.9465</v>
      </c>
      <c r="R189" s="9">
        <v>98.566999999999993</v>
      </c>
      <c r="S189" s="9">
        <v>54.826700000000002</v>
      </c>
      <c r="T189" s="9">
        <v>142.30719999999999</v>
      </c>
      <c r="U189" s="9">
        <v>31.508099999999999</v>
      </c>
      <c r="V189" s="9">
        <v>-2.6700000000000002E-2</v>
      </c>
      <c r="W189" s="9">
        <v>-5.5800000000000002E-2</v>
      </c>
      <c r="X189" s="9">
        <v>2.3999999999999998E-3</v>
      </c>
      <c r="Y189" s="9">
        <v>2.1000000000000001E-2</v>
      </c>
      <c r="Z189" s="9"/>
      <c r="AA189" s="9"/>
      <c r="AB189" s="9"/>
      <c r="AC189" s="9"/>
      <c r="AD189" s="8"/>
      <c r="AE189" s="8"/>
      <c r="AF189" s="8"/>
      <c r="AG189" s="8"/>
    </row>
    <row r="190" spans="1:33" x14ac:dyDescent="0.25">
      <c r="A190" s="8" t="s">
        <v>136</v>
      </c>
      <c r="B190" s="8" t="s">
        <v>163</v>
      </c>
      <c r="C190" s="8" t="s">
        <v>133</v>
      </c>
      <c r="D190" s="8" t="s">
        <v>103</v>
      </c>
      <c r="E190" s="8">
        <v>5</v>
      </c>
      <c r="F190" s="9">
        <v>9.5161999999999995</v>
      </c>
      <c r="G190" s="9">
        <v>3.6738</v>
      </c>
      <c r="H190" s="9">
        <v>15.358700000000001</v>
      </c>
      <c r="I190" s="9">
        <v>4.2085999999999997</v>
      </c>
      <c r="J190" s="9">
        <v>794.41269999999997</v>
      </c>
      <c r="K190" s="9">
        <v>-70.968299999999999</v>
      </c>
      <c r="L190" s="9">
        <v>1659.7936999999999</v>
      </c>
      <c r="M190" s="9">
        <v>623.37339999999995</v>
      </c>
      <c r="N190" s="9">
        <v>25.294799999999999</v>
      </c>
      <c r="O190" s="9">
        <v>8.0347000000000008</v>
      </c>
      <c r="P190" s="9">
        <v>42.554900000000004</v>
      </c>
      <c r="Q190" s="9">
        <v>12.433199999999999</v>
      </c>
      <c r="R190" s="9">
        <v>95.584800000000001</v>
      </c>
      <c r="S190" s="9">
        <v>70.090400000000002</v>
      </c>
      <c r="T190" s="9">
        <v>121.0793</v>
      </c>
      <c r="U190" s="9">
        <v>18.364799999999999</v>
      </c>
      <c r="V190" s="9">
        <v>-5.3900000000000003E-2</v>
      </c>
      <c r="W190" s="9">
        <v>-0.10059999999999999</v>
      </c>
      <c r="X190" s="9">
        <v>-7.1999999999999998E-3</v>
      </c>
      <c r="Y190" s="9">
        <v>3.3599999999999998E-2</v>
      </c>
      <c r="Z190" s="9"/>
      <c r="AA190" s="9"/>
      <c r="AB190" s="9"/>
      <c r="AC190" s="9"/>
      <c r="AD190" s="8"/>
      <c r="AE190" s="8"/>
      <c r="AF190" s="8"/>
      <c r="AG190" s="8"/>
    </row>
    <row r="191" spans="1:33" x14ac:dyDescent="0.25">
      <c r="A191" s="8" t="s">
        <v>136</v>
      </c>
      <c r="B191" s="8" t="s">
        <v>163</v>
      </c>
      <c r="C191" s="8" t="s">
        <v>133</v>
      </c>
      <c r="D191" s="8" t="s">
        <v>106</v>
      </c>
      <c r="E191" s="8">
        <v>5</v>
      </c>
      <c r="F191" s="9">
        <v>0.3957</v>
      </c>
      <c r="G191" s="9">
        <v>0.35770000000000002</v>
      </c>
      <c r="H191" s="9">
        <v>0.43369999999999997</v>
      </c>
      <c r="I191" s="9">
        <v>2.7400000000000001E-2</v>
      </c>
      <c r="J191" s="9">
        <v>0.25209999999999999</v>
      </c>
      <c r="K191" s="9">
        <v>0.1711</v>
      </c>
      <c r="L191" s="9">
        <v>0.33310000000000001</v>
      </c>
      <c r="M191" s="9">
        <v>5.8299999999999998E-2</v>
      </c>
      <c r="N191" s="9">
        <v>0.49840000000000001</v>
      </c>
      <c r="O191" s="9">
        <v>0.4138</v>
      </c>
      <c r="P191" s="9">
        <v>0.58289999999999997</v>
      </c>
      <c r="Q191" s="9">
        <v>6.0900000000000003E-2</v>
      </c>
      <c r="R191" s="9">
        <v>88.486099999999993</v>
      </c>
      <c r="S191" s="9">
        <v>58.726700000000001</v>
      </c>
      <c r="T191" s="9">
        <v>118.2456</v>
      </c>
      <c r="U191" s="9">
        <v>21.437100000000001</v>
      </c>
      <c r="V191" s="9">
        <v>-0.1062</v>
      </c>
      <c r="W191" s="9">
        <v>-0.3417</v>
      </c>
      <c r="X191" s="9">
        <v>0.1293</v>
      </c>
      <c r="Y191" s="9">
        <v>0.16969999999999999</v>
      </c>
      <c r="Z191" s="9"/>
      <c r="AA191" s="9"/>
      <c r="AB191" s="9"/>
      <c r="AC191" s="9"/>
      <c r="AD191" s="8"/>
      <c r="AE191" s="8"/>
      <c r="AF191" s="8"/>
      <c r="AG191" s="8"/>
    </row>
    <row r="192" spans="1:33" x14ac:dyDescent="0.25">
      <c r="A192" s="8" t="s">
        <v>136</v>
      </c>
      <c r="B192" s="8" t="s">
        <v>163</v>
      </c>
      <c r="C192" s="8" t="s">
        <v>133</v>
      </c>
      <c r="D192" s="8" t="s">
        <v>99</v>
      </c>
      <c r="E192" s="8">
        <v>5</v>
      </c>
      <c r="F192" s="9">
        <v>2.3586</v>
      </c>
      <c r="G192" s="9">
        <v>-0.8478</v>
      </c>
      <c r="H192" s="9">
        <v>5.5650000000000004</v>
      </c>
      <c r="I192" s="9">
        <v>2.3096999999999999</v>
      </c>
      <c r="J192" s="9">
        <v>272.88099999999997</v>
      </c>
      <c r="K192" s="9">
        <v>-476.74099999999999</v>
      </c>
      <c r="L192" s="9">
        <v>1022.5031</v>
      </c>
      <c r="M192" s="9">
        <v>539.98689999999999</v>
      </c>
      <c r="N192" s="9">
        <v>8.6981000000000002</v>
      </c>
      <c r="O192" s="9">
        <v>-10.797599999999999</v>
      </c>
      <c r="P192" s="9">
        <v>28.1938</v>
      </c>
      <c r="Q192" s="9">
        <v>14.043699999999999</v>
      </c>
      <c r="R192" s="9">
        <v>36.667400000000001</v>
      </c>
      <c r="S192" s="9">
        <v>26.0383</v>
      </c>
      <c r="T192" s="9">
        <v>47.296599999999998</v>
      </c>
      <c r="U192" s="9">
        <v>7.6566999999999998</v>
      </c>
      <c r="V192" s="9">
        <v>-1.12E-2</v>
      </c>
      <c r="W192" s="9">
        <v>-2.5499999999999998E-2</v>
      </c>
      <c r="X192" s="9">
        <v>3.0999999999999999E-3</v>
      </c>
      <c r="Y192" s="9">
        <v>1.03E-2</v>
      </c>
      <c r="Z192" s="9"/>
      <c r="AA192" s="9"/>
      <c r="AB192" s="9"/>
      <c r="AC192" s="9"/>
      <c r="AD192" s="8"/>
      <c r="AE192" s="8"/>
      <c r="AF192" s="8"/>
      <c r="AG192" s="8"/>
    </row>
    <row r="193" spans="1:33" x14ac:dyDescent="0.25">
      <c r="A193" s="8" t="s">
        <v>136</v>
      </c>
      <c r="B193" s="8" t="s">
        <v>163</v>
      </c>
      <c r="C193" s="8" t="s">
        <v>134</v>
      </c>
      <c r="D193" s="8" t="s">
        <v>101</v>
      </c>
      <c r="E193" s="8">
        <v>5</v>
      </c>
      <c r="F193" s="9">
        <v>607.75009999999997</v>
      </c>
      <c r="G193" s="9">
        <v>253.44839999999999</v>
      </c>
      <c r="H193" s="9">
        <v>962.05179999999996</v>
      </c>
      <c r="I193" s="9">
        <v>255.21969999999999</v>
      </c>
      <c r="J193" s="9">
        <v>7108824.9500000002</v>
      </c>
      <c r="K193" s="9">
        <v>-797552.75780000002</v>
      </c>
      <c r="L193" s="9">
        <v>15015202.6578</v>
      </c>
      <c r="M193" s="9">
        <v>5695324.3505999995</v>
      </c>
      <c r="N193" s="9">
        <v>2453.0621000000001</v>
      </c>
      <c r="O193" s="9">
        <v>1002.8434</v>
      </c>
      <c r="P193" s="9">
        <v>3903.2808</v>
      </c>
      <c r="Q193" s="9">
        <v>1044.6586</v>
      </c>
      <c r="R193" s="9">
        <v>36.199100000000001</v>
      </c>
      <c r="S193" s="9">
        <v>20.164899999999999</v>
      </c>
      <c r="T193" s="9">
        <v>52.2333</v>
      </c>
      <c r="U193" s="9">
        <v>11.5501</v>
      </c>
      <c r="V193" s="9">
        <v>-5.0200000000000002E-2</v>
      </c>
      <c r="W193" s="9">
        <v>-6.1100000000000002E-2</v>
      </c>
      <c r="X193" s="9">
        <v>-3.9199999999999999E-2</v>
      </c>
      <c r="Y193" s="9">
        <v>7.9000000000000008E-3</v>
      </c>
      <c r="Z193" s="9"/>
      <c r="AA193" s="9"/>
      <c r="AB193" s="9"/>
      <c r="AC193" s="9"/>
      <c r="AD193" s="8"/>
      <c r="AE193" s="8"/>
      <c r="AF193" s="8"/>
      <c r="AG193" s="8"/>
    </row>
    <row r="194" spans="1:33" x14ac:dyDescent="0.25">
      <c r="A194" s="8" t="s">
        <v>136</v>
      </c>
      <c r="B194" s="8" t="s">
        <v>163</v>
      </c>
      <c r="C194" s="8" t="s">
        <v>134</v>
      </c>
      <c r="D194" s="8" t="s">
        <v>100</v>
      </c>
      <c r="E194" s="8">
        <v>5</v>
      </c>
      <c r="F194" s="9">
        <v>28.516100000000002</v>
      </c>
      <c r="G194" s="9">
        <v>12.628500000000001</v>
      </c>
      <c r="H194" s="9">
        <v>44.403700000000001</v>
      </c>
      <c r="I194" s="9">
        <v>11.444599999999999</v>
      </c>
      <c r="J194" s="9">
        <v>13755.540800000001</v>
      </c>
      <c r="K194" s="9">
        <v>3251.3744000000002</v>
      </c>
      <c r="L194" s="9">
        <v>24259.707200000001</v>
      </c>
      <c r="M194" s="9">
        <v>7566.63</v>
      </c>
      <c r="N194" s="9">
        <v>105.7978</v>
      </c>
      <c r="O194" s="9">
        <v>35.526299999999999</v>
      </c>
      <c r="P194" s="9">
        <v>176.0693</v>
      </c>
      <c r="Q194" s="9">
        <v>50.619799999999998</v>
      </c>
      <c r="R194" s="9">
        <v>63.124499999999998</v>
      </c>
      <c r="S194" s="9">
        <v>52.395499999999998</v>
      </c>
      <c r="T194" s="9">
        <v>73.853399999999993</v>
      </c>
      <c r="U194" s="9">
        <v>7.7286000000000001</v>
      </c>
      <c r="V194" s="9">
        <v>-4.1200000000000001E-2</v>
      </c>
      <c r="W194" s="9">
        <v>-6.8199999999999997E-2</v>
      </c>
      <c r="X194" s="9">
        <v>-1.41E-2</v>
      </c>
      <c r="Y194" s="9">
        <v>1.95E-2</v>
      </c>
      <c r="Z194" s="9"/>
      <c r="AA194" s="9"/>
      <c r="AB194" s="9"/>
      <c r="AC194" s="9"/>
      <c r="AD194" s="8"/>
      <c r="AE194" s="8"/>
      <c r="AF194" s="8"/>
      <c r="AG194" s="8"/>
    </row>
    <row r="195" spans="1:33" x14ac:dyDescent="0.25">
      <c r="A195" s="8" t="s">
        <v>136</v>
      </c>
      <c r="B195" s="8" t="s">
        <v>163</v>
      </c>
      <c r="C195" s="8" t="s">
        <v>134</v>
      </c>
      <c r="D195" s="8" t="s">
        <v>102</v>
      </c>
      <c r="E195" s="8">
        <v>5</v>
      </c>
      <c r="F195" s="9">
        <v>1.23E-2</v>
      </c>
      <c r="G195" s="9">
        <v>0.01</v>
      </c>
      <c r="H195" s="9">
        <v>1.47E-2</v>
      </c>
      <c r="I195" s="9">
        <v>1.6999999999999999E-3</v>
      </c>
      <c r="J195" s="9">
        <v>2.9999999999999997E-4</v>
      </c>
      <c r="K195" s="9">
        <v>1E-4</v>
      </c>
      <c r="L195" s="9">
        <v>5.9999999999999995E-4</v>
      </c>
      <c r="M195" s="9">
        <v>2.0000000000000001E-4</v>
      </c>
      <c r="N195" s="9">
        <v>1.7500000000000002E-2</v>
      </c>
      <c r="O195" s="9">
        <v>1.06E-2</v>
      </c>
      <c r="P195" s="9">
        <v>2.4299999999999999E-2</v>
      </c>
      <c r="Q195" s="9">
        <v>4.8999999999999998E-3</v>
      </c>
      <c r="R195" s="9">
        <v>36.2926</v>
      </c>
      <c r="S195" s="9">
        <v>19.387</v>
      </c>
      <c r="T195" s="9">
        <v>53.198300000000003</v>
      </c>
      <c r="U195" s="9">
        <v>12.177899999999999</v>
      </c>
      <c r="V195" s="9">
        <v>-3.9399999999999998E-2</v>
      </c>
      <c r="W195" s="9">
        <v>-9.2899999999999996E-2</v>
      </c>
      <c r="X195" s="9">
        <v>1.41E-2</v>
      </c>
      <c r="Y195" s="9">
        <v>3.8600000000000002E-2</v>
      </c>
      <c r="Z195" s="9"/>
      <c r="AA195" s="9"/>
      <c r="AB195" s="9"/>
      <c r="AC195" s="9"/>
      <c r="AD195" s="8"/>
      <c r="AE195" s="8"/>
      <c r="AF195" s="8"/>
      <c r="AG195" s="8"/>
    </row>
    <row r="196" spans="1:33" x14ac:dyDescent="0.25">
      <c r="A196" s="8" t="s">
        <v>136</v>
      </c>
      <c r="B196" s="8" t="s">
        <v>163</v>
      </c>
      <c r="C196" s="8" t="s">
        <v>134</v>
      </c>
      <c r="D196" s="8" t="s">
        <v>105</v>
      </c>
      <c r="E196" s="8">
        <v>5</v>
      </c>
      <c r="F196" s="9">
        <v>73.640900000000002</v>
      </c>
      <c r="G196" s="9">
        <v>71.291399999999996</v>
      </c>
      <c r="H196" s="9">
        <v>75.990300000000005</v>
      </c>
      <c r="I196" s="9">
        <v>1.6923999999999999</v>
      </c>
      <c r="J196" s="9">
        <v>11259.893</v>
      </c>
      <c r="K196" s="9">
        <v>10215.8953</v>
      </c>
      <c r="L196" s="9">
        <v>12303.890600000001</v>
      </c>
      <c r="M196" s="9">
        <v>752.03909999999996</v>
      </c>
      <c r="N196" s="9">
        <v>106.0526</v>
      </c>
      <c r="O196" s="9">
        <v>101.0973</v>
      </c>
      <c r="P196" s="9">
        <v>111.00790000000001</v>
      </c>
      <c r="Q196" s="9">
        <v>3.5695000000000001</v>
      </c>
      <c r="R196" s="9">
        <v>67.244200000000006</v>
      </c>
      <c r="S196" s="9">
        <v>55.086399999999998</v>
      </c>
      <c r="T196" s="9">
        <v>79.402000000000001</v>
      </c>
      <c r="U196" s="9">
        <v>8.7577999999999996</v>
      </c>
      <c r="V196" s="9">
        <v>-8.8400000000000006E-2</v>
      </c>
      <c r="W196" s="9">
        <v>-0.1419</v>
      </c>
      <c r="X196" s="9">
        <v>-3.49E-2</v>
      </c>
      <c r="Y196" s="9">
        <v>3.85E-2</v>
      </c>
      <c r="Z196" s="9"/>
      <c r="AA196" s="9"/>
      <c r="AB196" s="9"/>
      <c r="AC196" s="9"/>
      <c r="AD196" s="8"/>
      <c r="AE196" s="8"/>
      <c r="AF196" s="8"/>
      <c r="AG196" s="8"/>
    </row>
    <row r="197" spans="1:33" x14ac:dyDescent="0.25">
      <c r="A197" s="8" t="s">
        <v>136</v>
      </c>
      <c r="B197" s="8" t="s">
        <v>163</v>
      </c>
      <c r="C197" s="8" t="s">
        <v>134</v>
      </c>
      <c r="D197" s="8" t="s">
        <v>104</v>
      </c>
      <c r="E197" s="8">
        <v>5</v>
      </c>
      <c r="F197" s="9">
        <v>17.658799999999999</v>
      </c>
      <c r="G197" s="9">
        <v>9.5282999999999998</v>
      </c>
      <c r="H197" s="9">
        <v>25.789300000000001</v>
      </c>
      <c r="I197" s="9">
        <v>5.8567999999999998</v>
      </c>
      <c r="J197" s="9">
        <v>2087.3996999999999</v>
      </c>
      <c r="K197" s="9">
        <v>-1990.4014999999999</v>
      </c>
      <c r="L197" s="9">
        <v>6165.2008999999998</v>
      </c>
      <c r="M197" s="9">
        <v>2937.4261000000001</v>
      </c>
      <c r="N197" s="9">
        <v>37.591799999999999</v>
      </c>
      <c r="O197" s="9">
        <v>1.5446</v>
      </c>
      <c r="P197" s="9">
        <v>73.638999999999996</v>
      </c>
      <c r="Q197" s="9">
        <v>25.9665</v>
      </c>
      <c r="R197" s="9">
        <v>72.463999999999999</v>
      </c>
      <c r="S197" s="9">
        <v>42.032800000000002</v>
      </c>
      <c r="T197" s="9">
        <v>102.8951</v>
      </c>
      <c r="U197" s="9">
        <v>21.9209</v>
      </c>
      <c r="V197" s="9">
        <v>-0.1142</v>
      </c>
      <c r="W197" s="9">
        <v>-0.1888</v>
      </c>
      <c r="X197" s="9">
        <v>-3.9600000000000003E-2</v>
      </c>
      <c r="Y197" s="9">
        <v>5.3699999999999998E-2</v>
      </c>
      <c r="Z197" s="9"/>
      <c r="AA197" s="9"/>
      <c r="AB197" s="9"/>
      <c r="AC197" s="9"/>
      <c r="AD197" s="8"/>
      <c r="AE197" s="8"/>
      <c r="AF197" s="8"/>
      <c r="AG197" s="8"/>
    </row>
    <row r="198" spans="1:33" x14ac:dyDescent="0.25">
      <c r="A198" s="8" t="s">
        <v>136</v>
      </c>
      <c r="B198" s="8" t="s">
        <v>163</v>
      </c>
      <c r="C198" s="8" t="s">
        <v>134</v>
      </c>
      <c r="D198" s="8" t="s">
        <v>103</v>
      </c>
      <c r="E198" s="8">
        <v>5</v>
      </c>
      <c r="F198" s="9">
        <v>9.3552999999999997</v>
      </c>
      <c r="G198" s="9">
        <v>3.5783</v>
      </c>
      <c r="H198" s="9">
        <v>15.132300000000001</v>
      </c>
      <c r="I198" s="9">
        <v>4.1614000000000004</v>
      </c>
      <c r="J198" s="9">
        <v>822.95519999999999</v>
      </c>
      <c r="K198" s="9">
        <v>-58.321599999999997</v>
      </c>
      <c r="L198" s="9">
        <v>1704.232</v>
      </c>
      <c r="M198" s="9">
        <v>634.82389999999998</v>
      </c>
      <c r="N198" s="9">
        <v>25.852399999999999</v>
      </c>
      <c r="O198" s="9">
        <v>8.5909999999999993</v>
      </c>
      <c r="P198" s="9">
        <v>43.113799999999998</v>
      </c>
      <c r="Q198" s="9">
        <v>12.434100000000001</v>
      </c>
      <c r="R198" s="9">
        <v>57.473100000000002</v>
      </c>
      <c r="S198" s="9">
        <v>43.510399999999997</v>
      </c>
      <c r="T198" s="9">
        <v>71.435900000000004</v>
      </c>
      <c r="U198" s="9">
        <v>10.058</v>
      </c>
      <c r="V198" s="9">
        <v>-0.11609999999999999</v>
      </c>
      <c r="W198" s="9">
        <v>-0.1303</v>
      </c>
      <c r="X198" s="9">
        <v>-0.1019</v>
      </c>
      <c r="Y198" s="9">
        <v>1.0200000000000001E-2</v>
      </c>
      <c r="Z198" s="9"/>
      <c r="AA198" s="9"/>
      <c r="AB198" s="9"/>
      <c r="AC198" s="9"/>
      <c r="AD198" s="8"/>
      <c r="AE198" s="8"/>
      <c r="AF198" s="8"/>
      <c r="AG198" s="8"/>
    </row>
    <row r="199" spans="1:33" x14ac:dyDescent="0.25">
      <c r="A199" s="8" t="s">
        <v>136</v>
      </c>
      <c r="B199" s="8" t="s">
        <v>163</v>
      </c>
      <c r="C199" s="8" t="s">
        <v>134</v>
      </c>
      <c r="D199" s="8" t="s">
        <v>106</v>
      </c>
      <c r="E199" s="8">
        <v>5</v>
      </c>
      <c r="F199" s="9">
        <v>0.36170000000000002</v>
      </c>
      <c r="G199" s="9">
        <v>0.27610000000000001</v>
      </c>
      <c r="H199" s="9">
        <v>0.44719999999999999</v>
      </c>
      <c r="I199" s="9">
        <v>6.1600000000000002E-2</v>
      </c>
      <c r="J199" s="9">
        <v>0.2802</v>
      </c>
      <c r="K199" s="9">
        <v>0.14369999999999999</v>
      </c>
      <c r="L199" s="9">
        <v>0.41670000000000001</v>
      </c>
      <c r="M199" s="9">
        <v>9.8299999999999998E-2</v>
      </c>
      <c r="N199" s="9">
        <v>0.51900000000000002</v>
      </c>
      <c r="O199" s="9">
        <v>0.37469999999999998</v>
      </c>
      <c r="P199" s="9">
        <v>0.66339999999999999</v>
      </c>
      <c r="Q199" s="9">
        <v>0.104</v>
      </c>
      <c r="R199" s="9">
        <v>59.406199999999998</v>
      </c>
      <c r="S199" s="9">
        <v>43.460900000000002</v>
      </c>
      <c r="T199" s="9">
        <v>75.351600000000005</v>
      </c>
      <c r="U199" s="9">
        <v>11.4861</v>
      </c>
      <c r="V199" s="9">
        <v>-0.15679999999999999</v>
      </c>
      <c r="W199" s="9">
        <v>-0.3322</v>
      </c>
      <c r="X199" s="9">
        <v>1.8599999999999998E-2</v>
      </c>
      <c r="Y199" s="9">
        <v>0.1263</v>
      </c>
      <c r="Z199" s="9"/>
      <c r="AA199" s="9"/>
      <c r="AB199" s="9"/>
      <c r="AC199" s="9"/>
      <c r="AD199" s="8"/>
      <c r="AE199" s="8"/>
      <c r="AF199" s="8"/>
      <c r="AG199" s="8"/>
    </row>
    <row r="200" spans="1:33" x14ac:dyDescent="0.25">
      <c r="A200" s="8" t="s">
        <v>136</v>
      </c>
      <c r="B200" s="8" t="s">
        <v>163</v>
      </c>
      <c r="C200" s="8" t="s">
        <v>134</v>
      </c>
      <c r="D200" s="8" t="s">
        <v>99</v>
      </c>
      <c r="E200" s="8">
        <v>5</v>
      </c>
      <c r="F200" s="9">
        <v>2.3418999999999999</v>
      </c>
      <c r="G200" s="9">
        <v>-0.86380000000000001</v>
      </c>
      <c r="H200" s="9">
        <v>5.5475000000000003</v>
      </c>
      <c r="I200" s="9">
        <v>2.3092000000000001</v>
      </c>
      <c r="J200" s="9">
        <v>273.36989999999997</v>
      </c>
      <c r="K200" s="9">
        <v>-477.39350000000002</v>
      </c>
      <c r="L200" s="9">
        <v>1024.1333999999999</v>
      </c>
      <c r="M200" s="9">
        <v>540.80909999999994</v>
      </c>
      <c r="N200" s="9">
        <v>8.7223000000000006</v>
      </c>
      <c r="O200" s="9">
        <v>-10.7768</v>
      </c>
      <c r="P200" s="9">
        <v>28.221299999999999</v>
      </c>
      <c r="Q200" s="9">
        <v>14.045999999999999</v>
      </c>
      <c r="R200" s="9">
        <v>34.358800000000002</v>
      </c>
      <c r="S200" s="9">
        <v>24.009899999999998</v>
      </c>
      <c r="T200" s="9">
        <v>44.707700000000003</v>
      </c>
      <c r="U200" s="9">
        <v>7.4547999999999996</v>
      </c>
      <c r="V200" s="9">
        <v>-3.4099999999999998E-2</v>
      </c>
      <c r="W200" s="9">
        <v>-5.8799999999999998E-2</v>
      </c>
      <c r="X200" s="9">
        <v>-9.4999999999999998E-3</v>
      </c>
      <c r="Y200" s="9">
        <v>1.78E-2</v>
      </c>
      <c r="Z200" s="9"/>
      <c r="AA200" s="9"/>
      <c r="AB200" s="9"/>
      <c r="AC200" s="9"/>
      <c r="AD200" s="8"/>
      <c r="AE200" s="8"/>
      <c r="AF200" s="8"/>
      <c r="AG200" s="8"/>
    </row>
    <row r="201" spans="1:33" x14ac:dyDescent="0.25">
      <c r="A201" s="8" t="s">
        <v>136</v>
      </c>
      <c r="B201" s="8" t="s">
        <v>163</v>
      </c>
      <c r="C201" s="8" t="s">
        <v>124</v>
      </c>
      <c r="D201" s="8" t="s">
        <v>101</v>
      </c>
      <c r="E201" s="8">
        <v>5</v>
      </c>
      <c r="F201" s="9">
        <v>581.29769999999996</v>
      </c>
      <c r="G201" s="9">
        <v>228.59100000000001</v>
      </c>
      <c r="H201" s="9">
        <v>934.00429999999994</v>
      </c>
      <c r="I201" s="9">
        <v>254.07069999999999</v>
      </c>
      <c r="J201" s="9">
        <v>6903833.5499999998</v>
      </c>
      <c r="K201" s="9">
        <v>-800758.59950000001</v>
      </c>
      <c r="L201" s="9">
        <v>14608425.6995</v>
      </c>
      <c r="M201" s="9">
        <v>5549969.0126</v>
      </c>
      <c r="N201" s="9">
        <v>2414.5765000000001</v>
      </c>
      <c r="O201" s="9">
        <v>976.13819999999998</v>
      </c>
      <c r="P201" s="9">
        <v>3853.0147999999999</v>
      </c>
      <c r="Q201" s="9">
        <v>1036.1727000000001</v>
      </c>
      <c r="R201" s="9">
        <v>26.1999</v>
      </c>
      <c r="S201" s="9">
        <v>18.498699999999999</v>
      </c>
      <c r="T201" s="9">
        <v>33.901200000000003</v>
      </c>
      <c r="U201" s="9">
        <v>5.5475000000000003</v>
      </c>
      <c r="V201" s="9">
        <v>-1.3299999999999999E-2</v>
      </c>
      <c r="W201" s="9">
        <v>-3.8699999999999998E-2</v>
      </c>
      <c r="X201" s="9">
        <v>1.21E-2</v>
      </c>
      <c r="Y201" s="9">
        <v>1.83E-2</v>
      </c>
      <c r="Z201" s="9"/>
      <c r="AA201" s="9"/>
      <c r="AB201" s="9"/>
      <c r="AC201" s="9"/>
      <c r="AD201" s="8"/>
      <c r="AE201" s="8"/>
      <c r="AF201" s="8"/>
      <c r="AG201" s="8"/>
    </row>
    <row r="202" spans="1:33" x14ac:dyDescent="0.25">
      <c r="A202" s="8" t="s">
        <v>136</v>
      </c>
      <c r="B202" s="8" t="s">
        <v>163</v>
      </c>
      <c r="C202" s="8" t="s">
        <v>124</v>
      </c>
      <c r="D202" s="8" t="s">
        <v>100</v>
      </c>
      <c r="E202" s="8">
        <v>5</v>
      </c>
      <c r="F202" s="9">
        <v>25.0913</v>
      </c>
      <c r="G202" s="9">
        <v>9.5086999999999993</v>
      </c>
      <c r="H202" s="9">
        <v>40.673999999999999</v>
      </c>
      <c r="I202" s="9">
        <v>11.2249</v>
      </c>
      <c r="J202" s="9">
        <v>13255.9105</v>
      </c>
      <c r="K202" s="9">
        <v>3013.5178000000001</v>
      </c>
      <c r="L202" s="9">
        <v>23498.3033</v>
      </c>
      <c r="M202" s="9">
        <v>7378.0625</v>
      </c>
      <c r="N202" s="9">
        <v>103.22920000000001</v>
      </c>
      <c r="O202" s="9">
        <v>32.448300000000003</v>
      </c>
      <c r="P202" s="9">
        <v>174.01009999999999</v>
      </c>
      <c r="Q202" s="9">
        <v>50.986699999999999</v>
      </c>
      <c r="R202" s="9">
        <v>29.115200000000002</v>
      </c>
      <c r="S202" s="9">
        <v>23.359400000000001</v>
      </c>
      <c r="T202" s="9">
        <v>34.871000000000002</v>
      </c>
      <c r="U202" s="9">
        <v>4.1462000000000003</v>
      </c>
      <c r="V202" s="9">
        <v>0.12180000000000001</v>
      </c>
      <c r="W202" s="9">
        <v>-0.24340000000000001</v>
      </c>
      <c r="X202" s="9">
        <v>0.48699999999999999</v>
      </c>
      <c r="Y202" s="9">
        <v>0.2631</v>
      </c>
      <c r="Z202" s="9"/>
      <c r="AA202" s="9"/>
      <c r="AB202" s="9"/>
      <c r="AC202" s="9"/>
      <c r="AD202" s="8"/>
      <c r="AE202" s="8"/>
      <c r="AF202" s="8"/>
      <c r="AG202" s="8"/>
    </row>
    <row r="203" spans="1:33" x14ac:dyDescent="0.25">
      <c r="A203" s="8" t="s">
        <v>136</v>
      </c>
      <c r="B203" s="8" t="s">
        <v>163</v>
      </c>
      <c r="C203" s="8" t="s">
        <v>124</v>
      </c>
      <c r="D203" s="8" t="s">
        <v>102</v>
      </c>
      <c r="E203" s="8">
        <v>5</v>
      </c>
      <c r="F203" s="9">
        <v>1.04E-2</v>
      </c>
      <c r="G203" s="9">
        <v>8.8999999999999999E-3</v>
      </c>
      <c r="H203" s="9">
        <v>1.1900000000000001E-2</v>
      </c>
      <c r="I203" s="9">
        <v>1.1000000000000001E-3</v>
      </c>
      <c r="J203" s="9">
        <v>2.9999999999999997E-4</v>
      </c>
      <c r="K203" s="9">
        <v>1E-4</v>
      </c>
      <c r="L203" s="9">
        <v>4.0000000000000002E-4</v>
      </c>
      <c r="M203" s="9">
        <v>1E-4</v>
      </c>
      <c r="N203" s="9">
        <v>1.5599999999999999E-2</v>
      </c>
      <c r="O203" s="9">
        <v>1.0500000000000001E-2</v>
      </c>
      <c r="P203" s="9">
        <v>2.07E-2</v>
      </c>
      <c r="Q203" s="9">
        <v>3.7000000000000002E-3</v>
      </c>
      <c r="R203" s="9">
        <v>32.986800000000002</v>
      </c>
      <c r="S203" s="9">
        <v>17.141100000000002</v>
      </c>
      <c r="T203" s="9">
        <v>48.832500000000003</v>
      </c>
      <c r="U203" s="9">
        <v>11.414400000000001</v>
      </c>
      <c r="V203" s="9">
        <v>0.1474</v>
      </c>
      <c r="W203" s="9">
        <v>1.5699999999999999E-2</v>
      </c>
      <c r="X203" s="9">
        <v>0.2792</v>
      </c>
      <c r="Y203" s="9">
        <v>9.4899999999999998E-2</v>
      </c>
      <c r="Z203" s="9"/>
      <c r="AA203" s="9"/>
      <c r="AB203" s="9"/>
      <c r="AC203" s="9"/>
      <c r="AD203" s="8"/>
      <c r="AE203" s="8"/>
      <c r="AF203" s="8"/>
      <c r="AG203" s="8"/>
    </row>
    <row r="204" spans="1:33" x14ac:dyDescent="0.25">
      <c r="A204" s="8" t="s">
        <v>136</v>
      </c>
      <c r="B204" s="8" t="s">
        <v>163</v>
      </c>
      <c r="C204" s="8" t="s">
        <v>124</v>
      </c>
      <c r="D204" s="8" t="s">
        <v>105</v>
      </c>
      <c r="E204" s="8">
        <v>5</v>
      </c>
      <c r="F204" s="9">
        <v>61.304200000000002</v>
      </c>
      <c r="G204" s="9">
        <v>51.568100000000001</v>
      </c>
      <c r="H204" s="9">
        <v>71.040300000000002</v>
      </c>
      <c r="I204" s="9">
        <v>7.0133000000000001</v>
      </c>
      <c r="J204" s="9">
        <v>7458.2932000000001</v>
      </c>
      <c r="K204" s="9">
        <v>6045.7530999999999</v>
      </c>
      <c r="L204" s="9">
        <v>8870.8331999999991</v>
      </c>
      <c r="M204" s="9">
        <v>1017.5170000000001</v>
      </c>
      <c r="N204" s="9">
        <v>86.145399999999995</v>
      </c>
      <c r="O204" s="9">
        <v>77.6708</v>
      </c>
      <c r="P204" s="9">
        <v>94.62</v>
      </c>
      <c r="Q204" s="9">
        <v>6.1045999999999996</v>
      </c>
      <c r="R204" s="9">
        <v>52.809800000000003</v>
      </c>
      <c r="S204" s="9">
        <v>40.762700000000002</v>
      </c>
      <c r="T204" s="9">
        <v>64.856800000000007</v>
      </c>
      <c r="U204" s="9">
        <v>8.6780000000000008</v>
      </c>
      <c r="V204" s="9">
        <v>0.2802</v>
      </c>
      <c r="W204" s="9">
        <v>0.15909999999999999</v>
      </c>
      <c r="X204" s="9">
        <v>0.40129999999999999</v>
      </c>
      <c r="Y204" s="9">
        <v>8.72E-2</v>
      </c>
      <c r="Z204" s="9"/>
      <c r="AA204" s="9"/>
      <c r="AB204" s="9"/>
      <c r="AC204" s="9"/>
      <c r="AD204" s="8"/>
      <c r="AE204" s="8"/>
      <c r="AF204" s="8"/>
      <c r="AG204" s="8"/>
    </row>
    <row r="205" spans="1:33" x14ac:dyDescent="0.25">
      <c r="A205" s="8" t="s">
        <v>136</v>
      </c>
      <c r="B205" s="8" t="s">
        <v>163</v>
      </c>
      <c r="C205" s="8" t="s">
        <v>124</v>
      </c>
      <c r="D205" s="8" t="s">
        <v>104</v>
      </c>
      <c r="E205" s="8">
        <v>5</v>
      </c>
      <c r="F205" s="9">
        <v>14.886799999999999</v>
      </c>
      <c r="G205" s="9">
        <v>6.899</v>
      </c>
      <c r="H205" s="9">
        <v>22.874600000000001</v>
      </c>
      <c r="I205" s="9">
        <v>5.7539999999999996</v>
      </c>
      <c r="J205" s="9">
        <v>1899.4649999999999</v>
      </c>
      <c r="K205" s="9">
        <v>-2070.6561999999999</v>
      </c>
      <c r="L205" s="9">
        <v>5869.5861000000004</v>
      </c>
      <c r="M205" s="9">
        <v>2859.8593000000001</v>
      </c>
      <c r="N205" s="9">
        <v>34.451099999999997</v>
      </c>
      <c r="O205" s="9">
        <v>-2.6067</v>
      </c>
      <c r="P205" s="9">
        <v>71.508799999999994</v>
      </c>
      <c r="Q205" s="9">
        <v>26.694400000000002</v>
      </c>
      <c r="R205" s="9">
        <v>53.596600000000002</v>
      </c>
      <c r="S205" s="9">
        <v>31.1477</v>
      </c>
      <c r="T205" s="9">
        <v>76.045400000000001</v>
      </c>
      <c r="U205" s="9">
        <v>16.1709</v>
      </c>
      <c r="V205" s="9">
        <v>0.1318</v>
      </c>
      <c r="W205" s="9">
        <v>-0.1094</v>
      </c>
      <c r="X205" s="9">
        <v>0.373</v>
      </c>
      <c r="Y205" s="9">
        <v>0.17369999999999999</v>
      </c>
      <c r="Z205" s="9"/>
      <c r="AA205" s="9"/>
      <c r="AB205" s="9"/>
      <c r="AC205" s="9"/>
      <c r="AD205" s="8"/>
      <c r="AE205" s="8"/>
      <c r="AF205" s="8"/>
      <c r="AG205" s="8"/>
    </row>
    <row r="206" spans="1:33" x14ac:dyDescent="0.25">
      <c r="A206" s="8" t="s">
        <v>136</v>
      </c>
      <c r="B206" s="8" t="s">
        <v>163</v>
      </c>
      <c r="C206" s="8" t="s">
        <v>124</v>
      </c>
      <c r="D206" s="8" t="s">
        <v>103</v>
      </c>
      <c r="E206" s="8">
        <v>5</v>
      </c>
      <c r="F206" s="9">
        <v>8.5724999999999998</v>
      </c>
      <c r="G206" s="9">
        <v>2.9228999999999998</v>
      </c>
      <c r="H206" s="9">
        <v>14.222099999999999</v>
      </c>
      <c r="I206" s="9">
        <v>4.0697000000000001</v>
      </c>
      <c r="J206" s="9">
        <v>750.07090000000005</v>
      </c>
      <c r="K206" s="9">
        <v>-111.5009</v>
      </c>
      <c r="L206" s="9">
        <v>1611.6425999999999</v>
      </c>
      <c r="M206" s="9">
        <v>620.62940000000003</v>
      </c>
      <c r="N206" s="9">
        <v>24.447700000000001</v>
      </c>
      <c r="O206" s="9">
        <v>7.3112000000000004</v>
      </c>
      <c r="P206" s="9">
        <v>41.584200000000003</v>
      </c>
      <c r="Q206" s="9">
        <v>12.344200000000001</v>
      </c>
      <c r="R206" s="9">
        <v>55.752699999999997</v>
      </c>
      <c r="S206" s="9">
        <v>48.773200000000003</v>
      </c>
      <c r="T206" s="9">
        <v>62.732199999999999</v>
      </c>
      <c r="U206" s="9">
        <v>5.0275999999999996</v>
      </c>
      <c r="V206" s="9">
        <v>1.49E-2</v>
      </c>
      <c r="W206" s="9">
        <v>-0.12770000000000001</v>
      </c>
      <c r="X206" s="9">
        <v>0.1575</v>
      </c>
      <c r="Y206" s="9">
        <v>0.1027</v>
      </c>
      <c r="Z206" s="9"/>
      <c r="AA206" s="9"/>
      <c r="AB206" s="9"/>
      <c r="AC206" s="9"/>
      <c r="AD206" s="8"/>
      <c r="AE206" s="8"/>
      <c r="AF206" s="8"/>
      <c r="AG206" s="8"/>
    </row>
    <row r="207" spans="1:33" x14ac:dyDescent="0.25">
      <c r="A207" s="8" t="s">
        <v>136</v>
      </c>
      <c r="B207" s="8" t="s">
        <v>163</v>
      </c>
      <c r="C207" s="8" t="s">
        <v>124</v>
      </c>
      <c r="D207" s="8" t="s">
        <v>106</v>
      </c>
      <c r="E207" s="8">
        <v>5</v>
      </c>
      <c r="F207" s="9">
        <v>0.31330000000000002</v>
      </c>
      <c r="G207" s="9">
        <v>0.25540000000000002</v>
      </c>
      <c r="H207" s="9">
        <v>0.37130000000000002</v>
      </c>
      <c r="I207" s="9">
        <v>4.1799999999999997E-2</v>
      </c>
      <c r="J207" s="9">
        <v>0.2177</v>
      </c>
      <c r="K207" s="9">
        <v>0.10580000000000001</v>
      </c>
      <c r="L207" s="9">
        <v>0.3296</v>
      </c>
      <c r="M207" s="9">
        <v>8.0600000000000005E-2</v>
      </c>
      <c r="N207" s="9">
        <v>0.45679999999999998</v>
      </c>
      <c r="O207" s="9">
        <v>0.3251</v>
      </c>
      <c r="P207" s="9">
        <v>0.58860000000000001</v>
      </c>
      <c r="Q207" s="9">
        <v>9.4899999999999998E-2</v>
      </c>
      <c r="R207" s="9">
        <v>56.466700000000003</v>
      </c>
      <c r="S207" s="9">
        <v>32.245399999999997</v>
      </c>
      <c r="T207" s="9">
        <v>80.687899999999999</v>
      </c>
      <c r="U207" s="9">
        <v>17.447700000000001</v>
      </c>
      <c r="V207" s="9">
        <v>0.1038</v>
      </c>
      <c r="W207" s="9">
        <v>-4.8300000000000003E-2</v>
      </c>
      <c r="X207" s="9">
        <v>0.25580000000000003</v>
      </c>
      <c r="Y207" s="9">
        <v>0.1095</v>
      </c>
      <c r="Z207" s="9"/>
      <c r="AA207" s="9"/>
      <c r="AB207" s="9"/>
      <c r="AC207" s="9"/>
      <c r="AD207" s="8"/>
      <c r="AE207" s="8"/>
      <c r="AF207" s="8"/>
      <c r="AG207" s="8"/>
    </row>
    <row r="208" spans="1:33" x14ac:dyDescent="0.25">
      <c r="A208" s="8" t="s">
        <v>136</v>
      </c>
      <c r="B208" s="8" t="s">
        <v>163</v>
      </c>
      <c r="C208" s="8" t="s">
        <v>124</v>
      </c>
      <c r="D208" s="8" t="s">
        <v>99</v>
      </c>
      <c r="E208" s="8">
        <v>5</v>
      </c>
      <c r="F208" s="9">
        <v>2.3611</v>
      </c>
      <c r="G208" s="9">
        <v>-0.84819999999999995</v>
      </c>
      <c r="H208" s="9">
        <v>5.5705</v>
      </c>
      <c r="I208" s="9">
        <v>2.3119000000000001</v>
      </c>
      <c r="J208" s="9">
        <v>271.05619999999999</v>
      </c>
      <c r="K208" s="9">
        <v>-473.38850000000002</v>
      </c>
      <c r="L208" s="9">
        <v>1015.5008</v>
      </c>
      <c r="M208" s="9">
        <v>536.25739999999996</v>
      </c>
      <c r="N208" s="9">
        <v>8.6791999999999998</v>
      </c>
      <c r="O208" s="9">
        <v>-10.7425</v>
      </c>
      <c r="P208" s="9">
        <v>28.1008</v>
      </c>
      <c r="Q208" s="9">
        <v>13.9903</v>
      </c>
      <c r="R208" s="9">
        <v>35.449199999999998</v>
      </c>
      <c r="S208" s="9">
        <v>23.910599999999999</v>
      </c>
      <c r="T208" s="9">
        <v>46.987699999999997</v>
      </c>
      <c r="U208" s="9">
        <v>8.3117000000000001</v>
      </c>
      <c r="V208" s="9">
        <v>-1.54E-2</v>
      </c>
      <c r="W208" s="9">
        <v>-0.11600000000000001</v>
      </c>
      <c r="X208" s="9">
        <v>8.5300000000000001E-2</v>
      </c>
      <c r="Y208" s="9">
        <v>7.2499999999999995E-2</v>
      </c>
      <c r="Z208" s="9"/>
      <c r="AA208" s="9"/>
      <c r="AB208" s="9"/>
      <c r="AC208" s="9"/>
      <c r="AD208" s="8"/>
      <c r="AE208" s="8"/>
      <c r="AF208" s="8"/>
      <c r="AG208" s="8"/>
    </row>
    <row r="209" spans="1:33" x14ac:dyDescent="0.25">
      <c r="A209" s="8" t="s">
        <v>136</v>
      </c>
      <c r="B209" s="8" t="s">
        <v>163</v>
      </c>
      <c r="C209" s="8" t="s">
        <v>253</v>
      </c>
      <c r="D209" s="8" t="s">
        <v>101</v>
      </c>
      <c r="E209" s="8">
        <v>5</v>
      </c>
      <c r="F209" s="9">
        <v>594.64160000000004</v>
      </c>
      <c r="G209" s="9">
        <v>238.8682</v>
      </c>
      <c r="H209" s="9">
        <v>950.41489999999999</v>
      </c>
      <c r="I209" s="9">
        <v>256.27980000000002</v>
      </c>
      <c r="J209" s="9">
        <v>6923385.6375000002</v>
      </c>
      <c r="K209" s="9">
        <v>-736537.40579999995</v>
      </c>
      <c r="L209" s="9">
        <v>14583308.6808</v>
      </c>
      <c r="M209" s="9">
        <v>5517791.8186999997</v>
      </c>
      <c r="N209" s="9">
        <v>2418.9670000000001</v>
      </c>
      <c r="O209" s="9">
        <v>981.64769999999999</v>
      </c>
      <c r="P209" s="9">
        <v>3856.2864</v>
      </c>
      <c r="Q209" s="9">
        <v>1035.3667</v>
      </c>
      <c r="R209" s="9">
        <v>30.747499999999999</v>
      </c>
      <c r="S209" s="9">
        <v>23.507100000000001</v>
      </c>
      <c r="T209" s="9">
        <v>37.988</v>
      </c>
      <c r="U209" s="9">
        <v>5.2156000000000002</v>
      </c>
      <c r="V209" s="9">
        <v>-1.6E-2</v>
      </c>
      <c r="W209" s="9">
        <v>-5.28E-2</v>
      </c>
      <c r="X209" s="9">
        <v>2.0799999999999999E-2</v>
      </c>
      <c r="Y209" s="9">
        <v>2.6499999999999999E-2</v>
      </c>
      <c r="Z209" s="9"/>
      <c r="AA209" s="9"/>
      <c r="AB209" s="9"/>
      <c r="AC209" s="9"/>
      <c r="AD209" s="8"/>
      <c r="AE209" s="8"/>
      <c r="AF209" s="8"/>
      <c r="AG209" s="8"/>
    </row>
    <row r="210" spans="1:33" x14ac:dyDescent="0.25">
      <c r="A210" s="8" t="s">
        <v>136</v>
      </c>
      <c r="B210" s="8" t="s">
        <v>163</v>
      </c>
      <c r="C210" s="8" t="s">
        <v>253</v>
      </c>
      <c r="D210" s="8" t="s">
        <v>100</v>
      </c>
      <c r="E210" s="8">
        <v>5</v>
      </c>
      <c r="F210" s="9">
        <v>26.657699999999998</v>
      </c>
      <c r="G210" s="9">
        <v>10.6829</v>
      </c>
      <c r="H210" s="9">
        <v>42.6325</v>
      </c>
      <c r="I210" s="9">
        <v>11.507400000000001</v>
      </c>
      <c r="J210" s="9">
        <v>13344.8676</v>
      </c>
      <c r="K210" s="9">
        <v>3050.8831</v>
      </c>
      <c r="L210" s="9">
        <v>23638.8521</v>
      </c>
      <c r="M210" s="9">
        <v>7415.2263999999996</v>
      </c>
      <c r="N210" s="9">
        <v>103.86279999999999</v>
      </c>
      <c r="O210" s="9">
        <v>33.659500000000001</v>
      </c>
      <c r="P210" s="9">
        <v>174.066</v>
      </c>
      <c r="Q210" s="9">
        <v>50.570599999999999</v>
      </c>
      <c r="R210" s="9">
        <v>39.829700000000003</v>
      </c>
      <c r="S210" s="9">
        <v>30.249500000000001</v>
      </c>
      <c r="T210" s="9">
        <v>49.41</v>
      </c>
      <c r="U210" s="9">
        <v>6.9010999999999996</v>
      </c>
      <c r="V210" s="9">
        <v>6.4000000000000001E-2</v>
      </c>
      <c r="W210" s="9">
        <v>-0.16170000000000001</v>
      </c>
      <c r="X210" s="9">
        <v>0.28960000000000002</v>
      </c>
      <c r="Y210" s="9">
        <v>0.16250000000000001</v>
      </c>
      <c r="Z210" s="9"/>
      <c r="AA210" s="9"/>
      <c r="AB210" s="9"/>
      <c r="AC210" s="9"/>
      <c r="AD210" s="8"/>
      <c r="AE210" s="8"/>
      <c r="AF210" s="8"/>
      <c r="AG210" s="8"/>
    </row>
    <row r="211" spans="1:33" x14ac:dyDescent="0.25">
      <c r="A211" s="8" t="s">
        <v>136</v>
      </c>
      <c r="B211" s="8" t="s">
        <v>163</v>
      </c>
      <c r="C211" s="8" t="s">
        <v>253</v>
      </c>
      <c r="D211" s="8" t="s">
        <v>102</v>
      </c>
      <c r="E211" s="8">
        <v>5</v>
      </c>
      <c r="F211" s="9">
        <v>1.2699999999999999E-2</v>
      </c>
      <c r="G211" s="9">
        <v>1.2200000000000001E-2</v>
      </c>
      <c r="H211" s="9">
        <v>1.3100000000000001E-2</v>
      </c>
      <c r="I211" s="9">
        <v>2.9999999999999997E-4</v>
      </c>
      <c r="J211" s="9">
        <v>4.0000000000000002E-4</v>
      </c>
      <c r="K211" s="9">
        <v>2.0000000000000001E-4</v>
      </c>
      <c r="L211" s="9">
        <v>5.0000000000000001E-4</v>
      </c>
      <c r="M211" s="9">
        <v>1E-4</v>
      </c>
      <c r="N211" s="9">
        <v>1.8700000000000001E-2</v>
      </c>
      <c r="O211" s="9">
        <v>1.5299999999999999E-2</v>
      </c>
      <c r="P211" s="9">
        <v>2.2100000000000002E-2</v>
      </c>
      <c r="Q211" s="9">
        <v>2.5000000000000001E-3</v>
      </c>
      <c r="R211" s="9">
        <v>36.372799999999998</v>
      </c>
      <c r="S211" s="9">
        <v>22.321000000000002</v>
      </c>
      <c r="T211" s="9">
        <v>50.424599999999998</v>
      </c>
      <c r="U211" s="9">
        <v>10.1221</v>
      </c>
      <c r="V211" s="9">
        <v>-0.28760000000000002</v>
      </c>
      <c r="W211" s="9">
        <v>-0.70169999999999999</v>
      </c>
      <c r="X211" s="9">
        <v>0.1265</v>
      </c>
      <c r="Y211" s="9">
        <v>0.29830000000000001</v>
      </c>
      <c r="Z211" s="9"/>
      <c r="AA211" s="9"/>
      <c r="AB211" s="9"/>
      <c r="AC211" s="9"/>
      <c r="AD211" s="8"/>
      <c r="AE211" s="8"/>
      <c r="AF211" s="8"/>
      <c r="AG211" s="8"/>
    </row>
    <row r="212" spans="1:33" x14ac:dyDescent="0.25">
      <c r="A212" s="8" t="s">
        <v>136</v>
      </c>
      <c r="B212" s="8" t="s">
        <v>163</v>
      </c>
      <c r="C212" s="8" t="s">
        <v>253</v>
      </c>
      <c r="D212" s="8" t="s">
        <v>105</v>
      </c>
      <c r="E212" s="8">
        <v>5</v>
      </c>
      <c r="F212" s="9">
        <v>74.9863</v>
      </c>
      <c r="G212" s="9">
        <v>67.735900000000001</v>
      </c>
      <c r="H212" s="9">
        <v>82.236699999999999</v>
      </c>
      <c r="I212" s="9">
        <v>5.2228000000000003</v>
      </c>
      <c r="J212" s="9">
        <v>10839.7382</v>
      </c>
      <c r="K212" s="9">
        <v>8290.0611000000008</v>
      </c>
      <c r="L212" s="9">
        <v>13389.415300000001</v>
      </c>
      <c r="M212" s="9">
        <v>1836.6487</v>
      </c>
      <c r="N212" s="9">
        <v>103.7274</v>
      </c>
      <c r="O212" s="9">
        <v>91.282499999999999</v>
      </c>
      <c r="P212" s="9">
        <v>116.17230000000001</v>
      </c>
      <c r="Q212" s="9">
        <v>8.9646000000000008</v>
      </c>
      <c r="R212" s="9">
        <v>66.334400000000002</v>
      </c>
      <c r="S212" s="9">
        <v>59.862000000000002</v>
      </c>
      <c r="T212" s="9">
        <v>72.806799999999996</v>
      </c>
      <c r="U212" s="9">
        <v>4.6623999999999999</v>
      </c>
      <c r="V212" s="9">
        <v>-6.2399999999999997E-2</v>
      </c>
      <c r="W212" s="9">
        <v>-0.40139999999999998</v>
      </c>
      <c r="X212" s="9">
        <v>0.27660000000000001</v>
      </c>
      <c r="Y212" s="9">
        <v>0.2442</v>
      </c>
      <c r="Z212" s="9"/>
      <c r="AA212" s="9"/>
      <c r="AB212" s="9"/>
      <c r="AC212" s="9"/>
      <c r="AD212" s="8"/>
      <c r="AE212" s="8"/>
      <c r="AF212" s="8"/>
      <c r="AG212" s="8"/>
    </row>
    <row r="213" spans="1:33" x14ac:dyDescent="0.25">
      <c r="A213" s="8" t="s">
        <v>136</v>
      </c>
      <c r="B213" s="8" t="s">
        <v>163</v>
      </c>
      <c r="C213" s="8" t="s">
        <v>253</v>
      </c>
      <c r="D213" s="8" t="s">
        <v>104</v>
      </c>
      <c r="E213" s="8">
        <v>5</v>
      </c>
      <c r="F213" s="9">
        <v>20.671199999999999</v>
      </c>
      <c r="G213" s="9">
        <v>10.9069</v>
      </c>
      <c r="H213" s="9">
        <v>30.435400000000001</v>
      </c>
      <c r="I213" s="9">
        <v>7.0335999999999999</v>
      </c>
      <c r="J213" s="9">
        <v>2305.8141000000001</v>
      </c>
      <c r="K213" s="9">
        <v>-2027.8239000000001</v>
      </c>
      <c r="L213" s="9">
        <v>6639.4520000000002</v>
      </c>
      <c r="M213" s="9">
        <v>3121.7170000000001</v>
      </c>
      <c r="N213" s="9">
        <v>40.230600000000003</v>
      </c>
      <c r="O213" s="9">
        <v>3.8359000000000001</v>
      </c>
      <c r="P213" s="9">
        <v>76.625200000000007</v>
      </c>
      <c r="Q213" s="9">
        <v>26.216699999999999</v>
      </c>
      <c r="R213" s="9">
        <v>88.180800000000005</v>
      </c>
      <c r="S213" s="9">
        <v>52.515700000000002</v>
      </c>
      <c r="T213" s="9">
        <v>123.8458</v>
      </c>
      <c r="U213" s="9">
        <v>25.691199999999998</v>
      </c>
      <c r="V213" s="9">
        <v>-0.35349999999999998</v>
      </c>
      <c r="W213" s="9">
        <v>-0.75460000000000005</v>
      </c>
      <c r="X213" s="9">
        <v>4.7699999999999999E-2</v>
      </c>
      <c r="Y213" s="9">
        <v>0.28899999999999998</v>
      </c>
      <c r="Z213" s="9"/>
      <c r="AA213" s="9"/>
      <c r="AB213" s="9"/>
      <c r="AC213" s="9"/>
      <c r="AD213" s="8"/>
      <c r="AE213" s="8"/>
      <c r="AF213" s="8"/>
      <c r="AG213" s="8"/>
    </row>
    <row r="214" spans="1:33" x14ac:dyDescent="0.25">
      <c r="A214" s="8" t="s">
        <v>136</v>
      </c>
      <c r="B214" s="8" t="s">
        <v>163</v>
      </c>
      <c r="C214" s="8" t="s">
        <v>253</v>
      </c>
      <c r="D214" s="8" t="s">
        <v>103</v>
      </c>
      <c r="E214" s="8">
        <v>5</v>
      </c>
      <c r="F214" s="9">
        <v>8.2972999999999999</v>
      </c>
      <c r="G214" s="9">
        <v>3.7094999999999998</v>
      </c>
      <c r="H214" s="9">
        <v>12.885199999999999</v>
      </c>
      <c r="I214" s="9">
        <v>3.3048000000000002</v>
      </c>
      <c r="J214" s="9">
        <v>667.53499999999997</v>
      </c>
      <c r="K214" s="9">
        <v>-92.919799999999995</v>
      </c>
      <c r="L214" s="9">
        <v>1427.9898000000001</v>
      </c>
      <c r="M214" s="9">
        <v>547.7903</v>
      </c>
      <c r="N214" s="9">
        <v>23.348400000000002</v>
      </c>
      <c r="O214" s="9">
        <v>7.9907000000000004</v>
      </c>
      <c r="P214" s="9">
        <v>38.706099999999999</v>
      </c>
      <c r="Q214" s="9">
        <v>11.062900000000001</v>
      </c>
      <c r="R214" s="9">
        <v>69.019900000000007</v>
      </c>
      <c r="S214" s="9">
        <v>41.5869</v>
      </c>
      <c r="T214" s="9">
        <v>96.4529</v>
      </c>
      <c r="U214" s="9">
        <v>19.761199999999999</v>
      </c>
      <c r="V214" s="9">
        <v>1.21E-2</v>
      </c>
      <c r="W214" s="9">
        <v>-0.32879999999999998</v>
      </c>
      <c r="X214" s="9">
        <v>0.35299999999999998</v>
      </c>
      <c r="Y214" s="9">
        <v>0.24560000000000001</v>
      </c>
      <c r="Z214" s="9"/>
      <c r="AA214" s="9"/>
      <c r="AB214" s="9"/>
      <c r="AC214" s="9"/>
      <c r="AD214" s="8"/>
      <c r="AE214" s="8"/>
      <c r="AF214" s="8"/>
      <c r="AG214" s="8"/>
    </row>
    <row r="215" spans="1:33" x14ac:dyDescent="0.25">
      <c r="A215" s="8" t="s">
        <v>136</v>
      </c>
      <c r="B215" s="8" t="s">
        <v>163</v>
      </c>
      <c r="C215" s="8" t="s">
        <v>253</v>
      </c>
      <c r="D215" s="8" t="s">
        <v>106</v>
      </c>
      <c r="E215" s="8">
        <v>5</v>
      </c>
      <c r="F215" s="9">
        <v>0.40110000000000001</v>
      </c>
      <c r="G215" s="9">
        <v>0.2697</v>
      </c>
      <c r="H215" s="9">
        <v>0.53249999999999997</v>
      </c>
      <c r="I215" s="9">
        <v>9.4600000000000004E-2</v>
      </c>
      <c r="J215" s="9">
        <v>0.35630000000000001</v>
      </c>
      <c r="K215" s="9">
        <v>6.1800000000000001E-2</v>
      </c>
      <c r="L215" s="9">
        <v>0.65069999999999995</v>
      </c>
      <c r="M215" s="9">
        <v>0.21210000000000001</v>
      </c>
      <c r="N215" s="9">
        <v>0.56920000000000004</v>
      </c>
      <c r="O215" s="9">
        <v>0.31979999999999997</v>
      </c>
      <c r="P215" s="9">
        <v>0.81859999999999999</v>
      </c>
      <c r="Q215" s="9">
        <v>0.1797</v>
      </c>
      <c r="R215" s="9">
        <v>82.538700000000006</v>
      </c>
      <c r="S215" s="9">
        <v>53.504800000000003</v>
      </c>
      <c r="T215" s="9">
        <v>111.57259999999999</v>
      </c>
      <c r="U215" s="9">
        <v>20.914400000000001</v>
      </c>
      <c r="V215" s="9">
        <v>-0.44800000000000001</v>
      </c>
      <c r="W215" s="9">
        <v>-1.2236</v>
      </c>
      <c r="X215" s="9">
        <v>0.3276</v>
      </c>
      <c r="Y215" s="9">
        <v>0.55869999999999997</v>
      </c>
      <c r="Z215" s="9"/>
      <c r="AA215" s="9"/>
      <c r="AB215" s="9"/>
      <c r="AC215" s="9"/>
      <c r="AD215" s="8"/>
      <c r="AE215" s="8"/>
      <c r="AF215" s="8"/>
      <c r="AG215" s="8"/>
    </row>
    <row r="216" spans="1:33" x14ac:dyDescent="0.25">
      <c r="A216" s="8" t="s">
        <v>136</v>
      </c>
      <c r="B216" s="8" t="s">
        <v>163</v>
      </c>
      <c r="C216" s="8" t="s">
        <v>253</v>
      </c>
      <c r="D216" s="8" t="s">
        <v>99</v>
      </c>
      <c r="E216" s="8">
        <v>5</v>
      </c>
      <c r="F216" s="9">
        <v>2.7999000000000001</v>
      </c>
      <c r="G216" s="9">
        <v>-0.4274</v>
      </c>
      <c r="H216" s="9">
        <v>6.0271999999999997</v>
      </c>
      <c r="I216" s="9">
        <v>2.3248000000000002</v>
      </c>
      <c r="J216" s="9">
        <v>271.36439999999999</v>
      </c>
      <c r="K216" s="9">
        <v>-469.21019999999999</v>
      </c>
      <c r="L216" s="9">
        <v>1011.939</v>
      </c>
      <c r="M216" s="9">
        <v>533.46969999999999</v>
      </c>
      <c r="N216" s="9">
        <v>9.0305999999999997</v>
      </c>
      <c r="O216" s="9">
        <v>-10.0953</v>
      </c>
      <c r="P216" s="9">
        <v>28.156500000000001</v>
      </c>
      <c r="Q216" s="9">
        <v>13.7773</v>
      </c>
      <c r="R216" s="9">
        <v>48.9878</v>
      </c>
      <c r="S216" s="9">
        <v>31.048200000000001</v>
      </c>
      <c r="T216" s="9">
        <v>66.927300000000002</v>
      </c>
      <c r="U216" s="9">
        <v>12.922700000000001</v>
      </c>
      <c r="V216" s="9">
        <v>-0.57950000000000002</v>
      </c>
      <c r="W216" s="9">
        <v>-1.2394000000000001</v>
      </c>
      <c r="X216" s="9">
        <v>8.0399999999999999E-2</v>
      </c>
      <c r="Y216" s="9">
        <v>0.47539999999999999</v>
      </c>
      <c r="Z216" s="9"/>
      <c r="AA216" s="9"/>
      <c r="AB216" s="9"/>
      <c r="AC216" s="9"/>
      <c r="AD216" s="8"/>
      <c r="AE216" s="8"/>
      <c r="AF216" s="8"/>
      <c r="AG216" s="8"/>
    </row>
    <row r="217" spans="1:33" x14ac:dyDescent="0.25">
      <c r="A217" s="8" t="s">
        <v>136</v>
      </c>
      <c r="B217" s="8" t="s">
        <v>163</v>
      </c>
      <c r="C217" s="8" t="s">
        <v>254</v>
      </c>
      <c r="D217" s="8" t="s">
        <v>101</v>
      </c>
      <c r="E217" s="8">
        <v>5</v>
      </c>
      <c r="F217" s="9">
        <v>586.80250000000001</v>
      </c>
      <c r="G217" s="9">
        <v>234.47</v>
      </c>
      <c r="H217" s="9">
        <v>939.13490000000002</v>
      </c>
      <c r="I217" s="9">
        <v>253.80109999999999</v>
      </c>
      <c r="J217" s="9">
        <v>6913161.7625000002</v>
      </c>
      <c r="K217" s="9">
        <v>-741198.66029999999</v>
      </c>
      <c r="L217" s="9">
        <v>14567522.1853</v>
      </c>
      <c r="M217" s="9">
        <v>5513784.8095000004</v>
      </c>
      <c r="N217" s="9">
        <v>2417.4666999999999</v>
      </c>
      <c r="O217" s="9">
        <v>982.13789999999995</v>
      </c>
      <c r="P217" s="9">
        <v>3852.7954</v>
      </c>
      <c r="Q217" s="9">
        <v>1033.9327000000001</v>
      </c>
      <c r="R217" s="9">
        <v>28.196400000000001</v>
      </c>
      <c r="S217" s="9">
        <v>19.6844</v>
      </c>
      <c r="T217" s="9">
        <v>36.708399999999997</v>
      </c>
      <c r="U217" s="9">
        <v>6.1315999999999997</v>
      </c>
      <c r="V217" s="9">
        <v>-1.54E-2</v>
      </c>
      <c r="W217" s="9">
        <v>-4.7899999999999998E-2</v>
      </c>
      <c r="X217" s="9">
        <v>1.72E-2</v>
      </c>
      <c r="Y217" s="9">
        <v>2.35E-2</v>
      </c>
      <c r="Z217" s="9"/>
      <c r="AA217" s="9"/>
      <c r="AB217" s="9"/>
      <c r="AC217" s="9"/>
      <c r="AD217" s="8"/>
      <c r="AE217" s="8"/>
      <c r="AF217" s="8"/>
      <c r="AG217" s="8"/>
    </row>
    <row r="218" spans="1:33" x14ac:dyDescent="0.25">
      <c r="A218" s="8" t="s">
        <v>136</v>
      </c>
      <c r="B218" s="8" t="s">
        <v>163</v>
      </c>
      <c r="C218" s="8" t="s">
        <v>254</v>
      </c>
      <c r="D218" s="8" t="s">
        <v>100</v>
      </c>
      <c r="E218" s="8">
        <v>5</v>
      </c>
      <c r="F218" s="9">
        <v>26.218699999999998</v>
      </c>
      <c r="G218" s="9">
        <v>10.6534</v>
      </c>
      <c r="H218" s="9">
        <v>41.783999999999999</v>
      </c>
      <c r="I218" s="9">
        <v>11.212400000000001</v>
      </c>
      <c r="J218" s="9">
        <v>13307.2567</v>
      </c>
      <c r="K218" s="9">
        <v>2988.0693999999999</v>
      </c>
      <c r="L218" s="9">
        <v>23626.444100000001</v>
      </c>
      <c r="M218" s="9">
        <v>7433.3811999999998</v>
      </c>
      <c r="N218" s="9">
        <v>103.71299999999999</v>
      </c>
      <c r="O218" s="9">
        <v>33.599400000000003</v>
      </c>
      <c r="P218" s="9">
        <v>173.82669999999999</v>
      </c>
      <c r="Q218" s="9">
        <v>50.506100000000004</v>
      </c>
      <c r="R218" s="9">
        <v>39.063800000000001</v>
      </c>
      <c r="S218" s="9">
        <v>25.7666</v>
      </c>
      <c r="T218" s="9">
        <v>52.360999999999997</v>
      </c>
      <c r="U218" s="9">
        <v>9.5785999999999998</v>
      </c>
      <c r="V218" s="9">
        <v>6.0199999999999997E-2</v>
      </c>
      <c r="W218" s="9">
        <v>-0.14230000000000001</v>
      </c>
      <c r="X218" s="9">
        <v>0.26269999999999999</v>
      </c>
      <c r="Y218" s="9">
        <v>0.1459</v>
      </c>
      <c r="Z218" s="9"/>
      <c r="AA218" s="9"/>
      <c r="AB218" s="9"/>
      <c r="AC218" s="9"/>
      <c r="AD218" s="8"/>
      <c r="AE218" s="8"/>
      <c r="AF218" s="8"/>
      <c r="AG218" s="8"/>
    </row>
    <row r="219" spans="1:33" x14ac:dyDescent="0.25">
      <c r="A219" s="8" t="s">
        <v>136</v>
      </c>
      <c r="B219" s="8" t="s">
        <v>163</v>
      </c>
      <c r="C219" s="8" t="s">
        <v>254</v>
      </c>
      <c r="D219" s="8" t="s">
        <v>102</v>
      </c>
      <c r="E219" s="8">
        <v>5</v>
      </c>
      <c r="F219" s="9">
        <v>1.18E-2</v>
      </c>
      <c r="G219" s="9">
        <v>1.04E-2</v>
      </c>
      <c r="H219" s="9">
        <v>1.3100000000000001E-2</v>
      </c>
      <c r="I219" s="9">
        <v>1E-3</v>
      </c>
      <c r="J219" s="9">
        <v>2.9999999999999997E-4</v>
      </c>
      <c r="K219" s="9">
        <v>1E-4</v>
      </c>
      <c r="L219" s="9">
        <v>5.0000000000000001E-4</v>
      </c>
      <c r="M219" s="9">
        <v>1E-4</v>
      </c>
      <c r="N219" s="9">
        <v>1.7299999999999999E-2</v>
      </c>
      <c r="O219" s="9">
        <v>1.3599999999999999E-2</v>
      </c>
      <c r="P219" s="9">
        <v>2.1000000000000001E-2</v>
      </c>
      <c r="Q219" s="9">
        <v>2.5999999999999999E-3</v>
      </c>
      <c r="R219" s="9">
        <v>36.753</v>
      </c>
      <c r="S219" s="9">
        <v>16.478899999999999</v>
      </c>
      <c r="T219" s="9">
        <v>57.027099999999997</v>
      </c>
      <c r="U219" s="9">
        <v>14.6044</v>
      </c>
      <c r="V219" s="9">
        <v>-0.1052</v>
      </c>
      <c r="W219" s="9">
        <v>-0.49220000000000003</v>
      </c>
      <c r="X219" s="9">
        <v>0.28179999999999999</v>
      </c>
      <c r="Y219" s="9">
        <v>0.27879999999999999</v>
      </c>
      <c r="Z219" s="9"/>
      <c r="AA219" s="9"/>
      <c r="AB219" s="9"/>
      <c r="AC219" s="9"/>
      <c r="AD219" s="8"/>
      <c r="AE219" s="8"/>
      <c r="AF219" s="8"/>
      <c r="AG219" s="8"/>
    </row>
    <row r="220" spans="1:33" x14ac:dyDescent="0.25">
      <c r="A220" s="8" t="s">
        <v>136</v>
      </c>
      <c r="B220" s="8" t="s">
        <v>163</v>
      </c>
      <c r="C220" s="8" t="s">
        <v>254</v>
      </c>
      <c r="D220" s="8" t="s">
        <v>105</v>
      </c>
      <c r="E220" s="8">
        <v>5</v>
      </c>
      <c r="F220" s="9">
        <v>62.7791</v>
      </c>
      <c r="G220" s="9">
        <v>55.586599999999997</v>
      </c>
      <c r="H220" s="9">
        <v>69.971500000000006</v>
      </c>
      <c r="I220" s="9">
        <v>5.1810999999999998</v>
      </c>
      <c r="J220" s="9">
        <v>7631.3828999999996</v>
      </c>
      <c r="K220" s="9">
        <v>5929.7713999999996</v>
      </c>
      <c r="L220" s="9">
        <v>9332.9945000000007</v>
      </c>
      <c r="M220" s="9">
        <v>1225.7483999999999</v>
      </c>
      <c r="N220" s="9">
        <v>87.087999999999994</v>
      </c>
      <c r="O220" s="9">
        <v>77.564800000000005</v>
      </c>
      <c r="P220" s="9">
        <v>96.611199999999997</v>
      </c>
      <c r="Q220" s="9">
        <v>6.86</v>
      </c>
      <c r="R220" s="9">
        <v>53.976799999999997</v>
      </c>
      <c r="S220" s="9">
        <v>49.603499999999997</v>
      </c>
      <c r="T220" s="9">
        <v>58.35</v>
      </c>
      <c r="U220" s="9">
        <v>3.1503000000000001</v>
      </c>
      <c r="V220" s="9">
        <v>0.2586</v>
      </c>
      <c r="W220" s="9">
        <v>8.2199999999999995E-2</v>
      </c>
      <c r="X220" s="9">
        <v>0.43509999999999999</v>
      </c>
      <c r="Y220" s="9">
        <v>0.12709999999999999</v>
      </c>
      <c r="Z220" s="9"/>
      <c r="AA220" s="9"/>
      <c r="AB220" s="9"/>
      <c r="AC220" s="9"/>
      <c r="AD220" s="8"/>
      <c r="AE220" s="8"/>
      <c r="AF220" s="8"/>
      <c r="AG220" s="8"/>
    </row>
    <row r="221" spans="1:33" x14ac:dyDescent="0.25">
      <c r="A221" s="8" t="s">
        <v>136</v>
      </c>
      <c r="B221" s="8" t="s">
        <v>163</v>
      </c>
      <c r="C221" s="8" t="s">
        <v>254</v>
      </c>
      <c r="D221" s="8" t="s">
        <v>104</v>
      </c>
      <c r="E221" s="8">
        <v>5</v>
      </c>
      <c r="F221" s="9">
        <v>18.163799999999998</v>
      </c>
      <c r="G221" s="9">
        <v>10.3194</v>
      </c>
      <c r="H221" s="9">
        <v>26.008199999999999</v>
      </c>
      <c r="I221" s="9">
        <v>5.6506999999999996</v>
      </c>
      <c r="J221" s="9">
        <v>2084.4457000000002</v>
      </c>
      <c r="K221" s="9">
        <v>-2079.7152000000001</v>
      </c>
      <c r="L221" s="9">
        <v>6248.6066000000001</v>
      </c>
      <c r="M221" s="9">
        <v>2999.6350000000002</v>
      </c>
      <c r="N221" s="9">
        <v>37.286000000000001</v>
      </c>
      <c r="O221" s="9">
        <v>0.7097</v>
      </c>
      <c r="P221" s="9">
        <v>73.862399999999994</v>
      </c>
      <c r="Q221" s="9">
        <v>26.3476</v>
      </c>
      <c r="R221" s="9">
        <v>82.675299999999993</v>
      </c>
      <c r="S221" s="9">
        <v>50.194499999999998</v>
      </c>
      <c r="T221" s="9">
        <v>115.1562</v>
      </c>
      <c r="U221" s="9">
        <v>23.397400000000001</v>
      </c>
      <c r="V221" s="9">
        <v>-9.1700000000000004E-2</v>
      </c>
      <c r="W221" s="9">
        <v>-0.2271</v>
      </c>
      <c r="X221" s="9">
        <v>4.3700000000000003E-2</v>
      </c>
      <c r="Y221" s="9">
        <v>9.7500000000000003E-2</v>
      </c>
      <c r="Z221" s="9"/>
      <c r="AA221" s="9"/>
      <c r="AB221" s="9"/>
      <c r="AC221" s="9"/>
      <c r="AD221" s="8"/>
      <c r="AE221" s="8"/>
      <c r="AF221" s="8"/>
      <c r="AG221" s="8"/>
    </row>
    <row r="222" spans="1:33" x14ac:dyDescent="0.25">
      <c r="A222" s="8" t="s">
        <v>136</v>
      </c>
      <c r="B222" s="8" t="s">
        <v>163</v>
      </c>
      <c r="C222" s="8" t="s">
        <v>254</v>
      </c>
      <c r="D222" s="8" t="s">
        <v>103</v>
      </c>
      <c r="E222" s="8">
        <v>5</v>
      </c>
      <c r="F222" s="9">
        <v>8.0978999999999992</v>
      </c>
      <c r="G222" s="9">
        <v>2.8712</v>
      </c>
      <c r="H222" s="9">
        <v>13.3246</v>
      </c>
      <c r="I222" s="9">
        <v>3.7650000000000001</v>
      </c>
      <c r="J222" s="9">
        <v>671.23720000000003</v>
      </c>
      <c r="K222" s="9">
        <v>-141.136</v>
      </c>
      <c r="L222" s="9">
        <v>1483.6103000000001</v>
      </c>
      <c r="M222" s="9">
        <v>585.18939999999998</v>
      </c>
      <c r="N222" s="9">
        <v>22.855</v>
      </c>
      <c r="O222" s="9">
        <v>5.9157999999999999</v>
      </c>
      <c r="P222" s="9">
        <v>39.7941</v>
      </c>
      <c r="Q222" s="9">
        <v>12.202</v>
      </c>
      <c r="R222" s="9">
        <v>68.181200000000004</v>
      </c>
      <c r="S222" s="9">
        <v>44.552700000000002</v>
      </c>
      <c r="T222" s="9">
        <v>91.809700000000007</v>
      </c>
      <c r="U222" s="9">
        <v>17.020700000000001</v>
      </c>
      <c r="V222" s="9">
        <v>0.1399</v>
      </c>
      <c r="W222" s="9">
        <v>-0.1908</v>
      </c>
      <c r="X222" s="9">
        <v>0.47060000000000002</v>
      </c>
      <c r="Y222" s="9">
        <v>0.2382</v>
      </c>
      <c r="Z222" s="9"/>
      <c r="AA222" s="9"/>
      <c r="AB222" s="9"/>
      <c r="AC222" s="9"/>
      <c r="AD222" s="8"/>
      <c r="AE222" s="8"/>
      <c r="AF222" s="8"/>
      <c r="AG222" s="8"/>
    </row>
    <row r="223" spans="1:33" x14ac:dyDescent="0.25">
      <c r="A223" s="8" t="s">
        <v>136</v>
      </c>
      <c r="B223" s="8" t="s">
        <v>163</v>
      </c>
      <c r="C223" s="8" t="s">
        <v>254</v>
      </c>
      <c r="D223" s="8" t="s">
        <v>106</v>
      </c>
      <c r="E223" s="8">
        <v>5</v>
      </c>
      <c r="F223" s="9">
        <v>0.32940000000000003</v>
      </c>
      <c r="G223" s="9">
        <v>0.26540000000000002</v>
      </c>
      <c r="H223" s="9">
        <v>0.39350000000000002</v>
      </c>
      <c r="I223" s="9">
        <v>4.6199999999999998E-2</v>
      </c>
      <c r="J223" s="9">
        <v>0.22789999999999999</v>
      </c>
      <c r="K223" s="9">
        <v>9.8400000000000001E-2</v>
      </c>
      <c r="L223" s="9">
        <v>0.3574</v>
      </c>
      <c r="M223" s="9">
        <v>9.3299999999999994E-2</v>
      </c>
      <c r="N223" s="9">
        <v>0.46800000000000003</v>
      </c>
      <c r="O223" s="9">
        <v>0.33750000000000002</v>
      </c>
      <c r="P223" s="9">
        <v>0.59860000000000002</v>
      </c>
      <c r="Q223" s="9">
        <v>9.4E-2</v>
      </c>
      <c r="R223" s="9">
        <v>62.579599999999999</v>
      </c>
      <c r="S223" s="9">
        <v>45.759599999999999</v>
      </c>
      <c r="T223" s="9">
        <v>79.399600000000007</v>
      </c>
      <c r="U223" s="9">
        <v>12.116199999999999</v>
      </c>
      <c r="V223" s="9">
        <v>7.7000000000000002E-3</v>
      </c>
      <c r="W223" s="9">
        <v>-0.39229999999999998</v>
      </c>
      <c r="X223" s="9">
        <v>0.40770000000000001</v>
      </c>
      <c r="Y223" s="9">
        <v>0.28810000000000002</v>
      </c>
      <c r="Z223" s="9"/>
      <c r="AA223" s="9"/>
      <c r="AB223" s="9"/>
      <c r="AC223" s="9"/>
      <c r="AD223" s="8"/>
      <c r="AE223" s="8"/>
      <c r="AF223" s="8"/>
      <c r="AG223" s="8"/>
    </row>
    <row r="224" spans="1:33" x14ac:dyDescent="0.25">
      <c r="A224" s="8" t="s">
        <v>136</v>
      </c>
      <c r="B224" s="8" t="s">
        <v>163</v>
      </c>
      <c r="C224" s="8" t="s">
        <v>254</v>
      </c>
      <c r="D224" s="8" t="s">
        <v>99</v>
      </c>
      <c r="E224" s="8">
        <v>5</v>
      </c>
      <c r="F224" s="9">
        <v>2.5335999999999999</v>
      </c>
      <c r="G224" s="9">
        <v>-0.68640000000000001</v>
      </c>
      <c r="H224" s="9">
        <v>5.7535999999999996</v>
      </c>
      <c r="I224" s="9">
        <v>2.3195000000000001</v>
      </c>
      <c r="J224" s="9">
        <v>273.23320000000001</v>
      </c>
      <c r="K224" s="9">
        <v>-475.89870000000002</v>
      </c>
      <c r="L224" s="9">
        <v>1022.3652</v>
      </c>
      <c r="M224" s="9">
        <v>539.63390000000004</v>
      </c>
      <c r="N224" s="9">
        <v>8.8180999999999994</v>
      </c>
      <c r="O224" s="9">
        <v>-10.5909</v>
      </c>
      <c r="P224" s="9">
        <v>28.2271</v>
      </c>
      <c r="Q224" s="9">
        <v>13.981199999999999</v>
      </c>
      <c r="R224" s="9">
        <v>41.080199999999998</v>
      </c>
      <c r="S224" s="9">
        <v>22.656700000000001</v>
      </c>
      <c r="T224" s="9">
        <v>59.503599999999999</v>
      </c>
      <c r="U224" s="9">
        <v>13.2713</v>
      </c>
      <c r="V224" s="9">
        <v>-0.1772</v>
      </c>
      <c r="W224" s="9">
        <v>-0.4133</v>
      </c>
      <c r="X224" s="9">
        <v>5.8799999999999998E-2</v>
      </c>
      <c r="Y224" s="9">
        <v>0.17</v>
      </c>
      <c r="Z224" s="9"/>
      <c r="AA224" s="9"/>
      <c r="AB224" s="9"/>
      <c r="AC224" s="9"/>
      <c r="AD224" s="8"/>
      <c r="AE224" s="8"/>
      <c r="AF224" s="8"/>
      <c r="AG224" s="8"/>
    </row>
    <row r="225" spans="1:33" x14ac:dyDescent="0.25">
      <c r="A225" s="8" t="s">
        <v>563</v>
      </c>
      <c r="B225" s="8" t="s">
        <v>163</v>
      </c>
      <c r="C225" s="8" t="s">
        <v>164</v>
      </c>
      <c r="D225" s="8" t="s">
        <v>101</v>
      </c>
      <c r="E225" s="8">
        <v>5</v>
      </c>
      <c r="F225" s="9">
        <v>164.06489999999999</v>
      </c>
      <c r="G225" s="9">
        <v>108.57599999999999</v>
      </c>
      <c r="H225" s="9">
        <v>219.55369999999999</v>
      </c>
      <c r="I225" s="9">
        <v>39.9711</v>
      </c>
      <c r="J225" s="9">
        <v>34644.290399999998</v>
      </c>
      <c r="K225" s="9">
        <v>18760.463</v>
      </c>
      <c r="L225" s="9">
        <v>50528.117899999997</v>
      </c>
      <c r="M225" s="9">
        <v>11441.8451</v>
      </c>
      <c r="N225" s="9">
        <v>183.5256</v>
      </c>
      <c r="O225" s="9">
        <v>140.45419999999999</v>
      </c>
      <c r="P225" s="9">
        <v>226.59700000000001</v>
      </c>
      <c r="Q225" s="9">
        <v>31.026299999999999</v>
      </c>
      <c r="R225" s="9">
        <v>60.731400000000001</v>
      </c>
      <c r="S225" s="9">
        <v>47.597299999999997</v>
      </c>
      <c r="T225" s="9">
        <v>73.865499999999997</v>
      </c>
      <c r="U225" s="9">
        <v>9.4611000000000001</v>
      </c>
      <c r="V225" s="9">
        <v>-6.0900999999999996</v>
      </c>
      <c r="W225" s="9">
        <v>-14.0975</v>
      </c>
      <c r="X225" s="9">
        <v>1.9173</v>
      </c>
      <c r="Y225" s="9">
        <v>5.7680999999999996</v>
      </c>
      <c r="Z225" s="9"/>
      <c r="AA225" s="9"/>
      <c r="AB225" s="9"/>
      <c r="AC225" s="9"/>
      <c r="AD225" s="8"/>
      <c r="AE225" s="8"/>
      <c r="AF225" s="8"/>
      <c r="AG225" s="8"/>
    </row>
    <row r="226" spans="1:33" x14ac:dyDescent="0.25">
      <c r="A226" s="8" t="s">
        <v>563</v>
      </c>
      <c r="B226" s="8" t="s">
        <v>163</v>
      </c>
      <c r="C226" s="8" t="s">
        <v>164</v>
      </c>
      <c r="D226" s="8" t="s">
        <v>100</v>
      </c>
      <c r="E226" s="8">
        <v>5</v>
      </c>
      <c r="F226" s="9">
        <v>13.6753</v>
      </c>
      <c r="G226" s="9">
        <v>6.9436</v>
      </c>
      <c r="H226" s="9">
        <v>20.4071</v>
      </c>
      <c r="I226" s="9">
        <v>4.8491999999999997</v>
      </c>
      <c r="J226" s="9">
        <v>596.13329999999996</v>
      </c>
      <c r="K226" s="9">
        <v>-528.72990000000004</v>
      </c>
      <c r="L226" s="9">
        <v>1720.9964</v>
      </c>
      <c r="M226" s="9">
        <v>810.29020000000003</v>
      </c>
      <c r="N226" s="9">
        <v>20.402100000000001</v>
      </c>
      <c r="O226" s="9">
        <v>1.7828999999999999</v>
      </c>
      <c r="P226" s="9">
        <v>39.021299999999997</v>
      </c>
      <c r="Q226" s="9">
        <v>13.4122</v>
      </c>
      <c r="R226" s="9">
        <v>63.429699999999997</v>
      </c>
      <c r="S226" s="9">
        <v>43.672699999999999</v>
      </c>
      <c r="T226" s="9">
        <v>83.186599999999999</v>
      </c>
      <c r="U226" s="9">
        <v>14.2319</v>
      </c>
      <c r="V226" s="9">
        <v>-1.7502</v>
      </c>
      <c r="W226" s="9">
        <v>-2.9923000000000002</v>
      </c>
      <c r="X226" s="9">
        <v>-0.50819999999999999</v>
      </c>
      <c r="Y226" s="9">
        <v>0.89470000000000005</v>
      </c>
      <c r="Z226" s="9"/>
      <c r="AA226" s="9"/>
      <c r="AB226" s="9"/>
      <c r="AC226" s="9"/>
      <c r="AD226" s="8"/>
      <c r="AE226" s="8"/>
      <c r="AF226" s="8"/>
      <c r="AG226" s="8"/>
    </row>
    <row r="227" spans="1:33" x14ac:dyDescent="0.25">
      <c r="A227" s="8" t="s">
        <v>563</v>
      </c>
      <c r="B227" s="8" t="s">
        <v>163</v>
      </c>
      <c r="C227" s="8" t="s">
        <v>164</v>
      </c>
      <c r="D227" s="8" t="s">
        <v>102</v>
      </c>
      <c r="E227" s="8">
        <v>5</v>
      </c>
      <c r="F227" s="9">
        <v>2.92E-2</v>
      </c>
      <c r="G227" s="9">
        <v>1.21E-2</v>
      </c>
      <c r="H227" s="9">
        <v>4.6399999999999997E-2</v>
      </c>
      <c r="I227" s="9">
        <v>1.23E-2</v>
      </c>
      <c r="J227" s="9">
        <v>1.4E-3</v>
      </c>
      <c r="K227" s="9">
        <v>-2.9999999999999997E-4</v>
      </c>
      <c r="L227" s="9">
        <v>3.2000000000000002E-3</v>
      </c>
      <c r="M227" s="9">
        <v>1.2999999999999999E-3</v>
      </c>
      <c r="N227" s="9">
        <v>3.5099999999999999E-2</v>
      </c>
      <c r="O227" s="9">
        <v>1.52E-2</v>
      </c>
      <c r="P227" s="9">
        <v>5.5100000000000003E-2</v>
      </c>
      <c r="Q227" s="9">
        <v>1.44E-2</v>
      </c>
      <c r="R227" s="9">
        <v>66.929199999999994</v>
      </c>
      <c r="S227" s="9">
        <v>26.713899999999999</v>
      </c>
      <c r="T227" s="9">
        <v>107.14449999999999</v>
      </c>
      <c r="U227" s="9">
        <v>28.968900000000001</v>
      </c>
      <c r="V227" s="9">
        <v>-6.9554999999999998</v>
      </c>
      <c r="W227" s="9">
        <v>-18.2986</v>
      </c>
      <c r="X227" s="9">
        <v>4.3876999999999997</v>
      </c>
      <c r="Y227" s="9">
        <v>8.1709999999999994</v>
      </c>
      <c r="Z227" s="9"/>
      <c r="AA227" s="9"/>
      <c r="AB227" s="9"/>
      <c r="AC227" s="9"/>
      <c r="AD227" s="8"/>
      <c r="AE227" s="8"/>
      <c r="AF227" s="8"/>
      <c r="AG227" s="8"/>
    </row>
    <row r="228" spans="1:33" x14ac:dyDescent="0.25">
      <c r="A228" s="8" t="s">
        <v>563</v>
      </c>
      <c r="B228" s="8" t="s">
        <v>163</v>
      </c>
      <c r="C228" s="8" t="s">
        <v>164</v>
      </c>
      <c r="D228" s="8" t="s">
        <v>105</v>
      </c>
      <c r="E228" s="8">
        <v>5</v>
      </c>
      <c r="F228" s="9">
        <v>95.517700000000005</v>
      </c>
      <c r="G228" s="9">
        <v>74.505200000000002</v>
      </c>
      <c r="H228" s="9">
        <v>116.5303</v>
      </c>
      <c r="I228" s="9">
        <v>15.1363</v>
      </c>
      <c r="J228" s="9">
        <v>14110.052600000001</v>
      </c>
      <c r="K228" s="9">
        <v>9188.9084000000003</v>
      </c>
      <c r="L228" s="9">
        <v>19031.196800000002</v>
      </c>
      <c r="M228" s="9">
        <v>3544.9245000000001</v>
      </c>
      <c r="N228" s="9">
        <v>117.8548</v>
      </c>
      <c r="O228" s="9">
        <v>97.250600000000006</v>
      </c>
      <c r="P228" s="9">
        <v>138.45910000000001</v>
      </c>
      <c r="Q228" s="9">
        <v>14.8422</v>
      </c>
      <c r="R228" s="9">
        <v>101.5365</v>
      </c>
      <c r="S228" s="9">
        <v>53.571199999999997</v>
      </c>
      <c r="T228" s="9">
        <v>149.5017</v>
      </c>
      <c r="U228" s="9">
        <v>34.551600000000001</v>
      </c>
      <c r="V228" s="9">
        <v>-1.4518</v>
      </c>
      <c r="W228" s="9">
        <v>-2.2208000000000001</v>
      </c>
      <c r="X228" s="9">
        <v>-0.68269999999999997</v>
      </c>
      <c r="Y228" s="9">
        <v>0.55400000000000005</v>
      </c>
      <c r="Z228" s="9"/>
      <c r="AA228" s="9"/>
      <c r="AB228" s="9"/>
      <c r="AC228" s="9"/>
      <c r="AD228" s="8"/>
      <c r="AE228" s="8"/>
      <c r="AF228" s="8"/>
      <c r="AG228" s="8"/>
    </row>
    <row r="229" spans="1:33" x14ac:dyDescent="0.25">
      <c r="A229" s="8" t="s">
        <v>563</v>
      </c>
      <c r="B229" s="8" t="s">
        <v>163</v>
      </c>
      <c r="C229" s="8" t="s">
        <v>164</v>
      </c>
      <c r="D229" s="8" t="s">
        <v>104</v>
      </c>
      <c r="E229" s="8">
        <v>5</v>
      </c>
      <c r="F229" s="9">
        <v>17.009899999999998</v>
      </c>
      <c r="G229" s="9">
        <v>13.0799</v>
      </c>
      <c r="H229" s="9">
        <v>20.939800000000002</v>
      </c>
      <c r="I229" s="9">
        <v>2.8309000000000002</v>
      </c>
      <c r="J229" s="9">
        <v>528.3365</v>
      </c>
      <c r="K229" s="9">
        <v>336.99799999999999</v>
      </c>
      <c r="L229" s="9">
        <v>719.67499999999995</v>
      </c>
      <c r="M229" s="9">
        <v>137.82990000000001</v>
      </c>
      <c r="N229" s="9">
        <v>22.763200000000001</v>
      </c>
      <c r="O229" s="9">
        <v>18.3354</v>
      </c>
      <c r="P229" s="9">
        <v>27.190999999999999</v>
      </c>
      <c r="Q229" s="9">
        <v>3.1896</v>
      </c>
      <c r="R229" s="9">
        <v>75.247200000000007</v>
      </c>
      <c r="S229" s="9">
        <v>57.013500000000001</v>
      </c>
      <c r="T229" s="9">
        <v>93.480900000000005</v>
      </c>
      <c r="U229" s="9">
        <v>13.134600000000001</v>
      </c>
      <c r="V229" s="9">
        <v>-1.4027000000000001</v>
      </c>
      <c r="W229" s="9">
        <v>-2.4643999999999999</v>
      </c>
      <c r="X229" s="9">
        <v>-0.34100000000000003</v>
      </c>
      <c r="Y229" s="9">
        <v>0.76480000000000004</v>
      </c>
      <c r="Z229" s="9"/>
      <c r="AA229" s="9"/>
      <c r="AB229" s="9"/>
      <c r="AC229" s="9"/>
      <c r="AD229" s="8"/>
      <c r="AE229" s="8"/>
      <c r="AF229" s="8"/>
      <c r="AG229" s="8"/>
    </row>
    <row r="230" spans="1:33" x14ac:dyDescent="0.25">
      <c r="A230" s="8" t="s">
        <v>563</v>
      </c>
      <c r="B230" s="8" t="s">
        <v>163</v>
      </c>
      <c r="C230" s="8" t="s">
        <v>164</v>
      </c>
      <c r="D230" s="8" t="s">
        <v>103</v>
      </c>
      <c r="E230" s="8">
        <v>5</v>
      </c>
      <c r="F230" s="9">
        <v>5.1109</v>
      </c>
      <c r="G230" s="9">
        <v>3.0630000000000002</v>
      </c>
      <c r="H230" s="9">
        <v>7.1586999999999996</v>
      </c>
      <c r="I230" s="9">
        <v>1.4752000000000001</v>
      </c>
      <c r="J230" s="9">
        <v>66.962000000000003</v>
      </c>
      <c r="K230" s="9">
        <v>9.843</v>
      </c>
      <c r="L230" s="9">
        <v>124.081</v>
      </c>
      <c r="M230" s="9">
        <v>41.145400000000002</v>
      </c>
      <c r="N230" s="9">
        <v>7.7878999999999996</v>
      </c>
      <c r="O230" s="9">
        <v>4.3003999999999998</v>
      </c>
      <c r="P230" s="9">
        <v>11.2753</v>
      </c>
      <c r="Q230" s="9">
        <v>2.5122</v>
      </c>
      <c r="R230" s="9">
        <v>116.5437</v>
      </c>
      <c r="S230" s="9">
        <v>37.168300000000002</v>
      </c>
      <c r="T230" s="9">
        <v>195.91909999999999</v>
      </c>
      <c r="U230" s="9">
        <v>57.177700000000002</v>
      </c>
      <c r="V230" s="9">
        <v>-1.1452</v>
      </c>
      <c r="W230" s="9">
        <v>-2.9748000000000001</v>
      </c>
      <c r="X230" s="9">
        <v>0.68440000000000001</v>
      </c>
      <c r="Y230" s="9">
        <v>1.3179000000000001</v>
      </c>
      <c r="Z230" s="9"/>
      <c r="AA230" s="9"/>
      <c r="AB230" s="9"/>
      <c r="AC230" s="9"/>
      <c r="AD230" s="8"/>
      <c r="AE230" s="8"/>
      <c r="AF230" s="8"/>
      <c r="AG230" s="8"/>
    </row>
    <row r="231" spans="1:33" x14ac:dyDescent="0.25">
      <c r="A231" s="8" t="s">
        <v>563</v>
      </c>
      <c r="B231" s="8" t="s">
        <v>163</v>
      </c>
      <c r="C231" s="8" t="s">
        <v>164</v>
      </c>
      <c r="D231" s="8" t="s">
        <v>106</v>
      </c>
      <c r="E231" s="8">
        <v>5</v>
      </c>
      <c r="F231" s="9">
        <v>0.35970000000000002</v>
      </c>
      <c r="G231" s="9">
        <v>0.1731</v>
      </c>
      <c r="H231" s="9">
        <v>0.54630000000000001</v>
      </c>
      <c r="I231" s="9">
        <v>0.13439999999999999</v>
      </c>
      <c r="J231" s="9">
        <v>0.23480000000000001</v>
      </c>
      <c r="K231" s="9">
        <v>6.4000000000000003E-3</v>
      </c>
      <c r="L231" s="9">
        <v>0.46310000000000001</v>
      </c>
      <c r="M231" s="9">
        <v>0.16450000000000001</v>
      </c>
      <c r="N231" s="9">
        <v>0.46010000000000001</v>
      </c>
      <c r="O231" s="9">
        <v>0.24890000000000001</v>
      </c>
      <c r="P231" s="9">
        <v>0.67120000000000002</v>
      </c>
      <c r="Q231" s="9">
        <v>0.15210000000000001</v>
      </c>
      <c r="R231" s="9">
        <v>71.707700000000003</v>
      </c>
      <c r="S231" s="9">
        <v>55.752400000000002</v>
      </c>
      <c r="T231" s="9">
        <v>87.6631</v>
      </c>
      <c r="U231" s="9">
        <v>11.4933</v>
      </c>
      <c r="V231" s="9">
        <v>-0.56000000000000005</v>
      </c>
      <c r="W231" s="9">
        <v>-1.4608000000000001</v>
      </c>
      <c r="X231" s="9">
        <v>0.34089999999999998</v>
      </c>
      <c r="Y231" s="9">
        <v>0.64890000000000003</v>
      </c>
      <c r="Z231" s="9"/>
      <c r="AA231" s="9"/>
      <c r="AB231" s="9"/>
      <c r="AC231" s="9"/>
      <c r="AD231" s="8"/>
      <c r="AE231" s="8"/>
      <c r="AF231" s="8"/>
      <c r="AG231" s="8"/>
    </row>
    <row r="232" spans="1:33" x14ac:dyDescent="0.25">
      <c r="A232" s="8" t="s">
        <v>563</v>
      </c>
      <c r="B232" s="8" t="s">
        <v>163</v>
      </c>
      <c r="C232" s="8" t="s">
        <v>164</v>
      </c>
      <c r="D232" s="8" t="s">
        <v>99</v>
      </c>
      <c r="E232" s="8">
        <v>5</v>
      </c>
      <c r="F232" s="9">
        <v>1.6819999999999999</v>
      </c>
      <c r="G232" s="9">
        <v>1.1877</v>
      </c>
      <c r="H232" s="9">
        <v>2.1762999999999999</v>
      </c>
      <c r="I232" s="9">
        <v>0.35599999999999998</v>
      </c>
      <c r="J232" s="9">
        <v>4.3293999999999997</v>
      </c>
      <c r="K232" s="9">
        <v>2.5270000000000001</v>
      </c>
      <c r="L232" s="9">
        <v>6.1317000000000004</v>
      </c>
      <c r="M232" s="9">
        <v>1.2983</v>
      </c>
      <c r="N232" s="9">
        <v>2.0573999999999999</v>
      </c>
      <c r="O232" s="9">
        <v>1.6258999999999999</v>
      </c>
      <c r="P232" s="9">
        <v>2.4887999999999999</v>
      </c>
      <c r="Q232" s="9">
        <v>0.31080000000000002</v>
      </c>
      <c r="R232" s="9">
        <v>50.7562</v>
      </c>
      <c r="S232" s="9">
        <v>40.106000000000002</v>
      </c>
      <c r="T232" s="9">
        <v>61.406399999999998</v>
      </c>
      <c r="U232" s="9">
        <v>7.6718000000000002</v>
      </c>
      <c r="V232" s="9">
        <v>-2.3845000000000001</v>
      </c>
      <c r="W232" s="9">
        <v>-4.3973000000000004</v>
      </c>
      <c r="X232" s="9">
        <v>-0.37169999999999997</v>
      </c>
      <c r="Y232" s="9">
        <v>1.4499</v>
      </c>
      <c r="Z232" s="9"/>
      <c r="AA232" s="9"/>
      <c r="AB232" s="9"/>
      <c r="AC232" s="9"/>
      <c r="AD232" s="8"/>
      <c r="AE232" s="8"/>
      <c r="AF232" s="8"/>
      <c r="AG232" s="8"/>
    </row>
    <row r="233" spans="1:33" x14ac:dyDescent="0.25">
      <c r="A233" s="8" t="s">
        <v>563</v>
      </c>
      <c r="B233" s="8" t="s">
        <v>163</v>
      </c>
      <c r="C233" s="8" t="s">
        <v>165</v>
      </c>
      <c r="D233" s="8" t="s">
        <v>101</v>
      </c>
      <c r="E233" s="8">
        <v>5</v>
      </c>
      <c r="F233" s="9">
        <v>42.172199999999997</v>
      </c>
      <c r="G233" s="9">
        <v>29.912299999999998</v>
      </c>
      <c r="H233" s="9">
        <v>54.432099999999998</v>
      </c>
      <c r="I233" s="9">
        <v>8.8314000000000004</v>
      </c>
      <c r="J233" s="9">
        <v>3911.5895999999998</v>
      </c>
      <c r="K233" s="9">
        <v>847.88139999999999</v>
      </c>
      <c r="L233" s="9">
        <v>6975.2978000000003</v>
      </c>
      <c r="M233" s="9">
        <v>2206.9286999999999</v>
      </c>
      <c r="N233" s="9">
        <v>60.0871</v>
      </c>
      <c r="O233" s="9">
        <v>35.996899999999997</v>
      </c>
      <c r="P233" s="9">
        <v>84.177199999999999</v>
      </c>
      <c r="Q233" s="9">
        <v>17.353300000000001</v>
      </c>
      <c r="R233" s="9">
        <v>20.307300000000001</v>
      </c>
      <c r="S233" s="9">
        <v>12.758900000000001</v>
      </c>
      <c r="T233" s="9">
        <v>27.855599999999999</v>
      </c>
      <c r="U233" s="9">
        <v>5.4374000000000002</v>
      </c>
      <c r="V233" s="9">
        <v>0.45079999999999998</v>
      </c>
      <c r="W233" s="9">
        <v>0.2472</v>
      </c>
      <c r="X233" s="9">
        <v>0.65439999999999998</v>
      </c>
      <c r="Y233" s="9">
        <v>0.14660000000000001</v>
      </c>
      <c r="Z233" s="9"/>
      <c r="AA233" s="9"/>
      <c r="AB233" s="9"/>
      <c r="AC233" s="9"/>
      <c r="AD233" s="8"/>
      <c r="AE233" s="8"/>
      <c r="AF233" s="8"/>
      <c r="AG233" s="8"/>
    </row>
    <row r="234" spans="1:33" x14ac:dyDescent="0.25">
      <c r="A234" s="8" t="s">
        <v>563</v>
      </c>
      <c r="B234" s="8" t="s">
        <v>163</v>
      </c>
      <c r="C234" s="8" t="s">
        <v>165</v>
      </c>
      <c r="D234" s="8" t="s">
        <v>100</v>
      </c>
      <c r="E234" s="8">
        <v>5</v>
      </c>
      <c r="F234" s="9">
        <v>4.8909000000000002</v>
      </c>
      <c r="G234" s="9">
        <v>1.2778</v>
      </c>
      <c r="H234" s="9">
        <v>8.5040999999999993</v>
      </c>
      <c r="I234" s="9">
        <v>2.6027</v>
      </c>
      <c r="J234" s="9">
        <v>314.4443</v>
      </c>
      <c r="K234" s="9">
        <v>-485.79059999999998</v>
      </c>
      <c r="L234" s="9">
        <v>1114.6792</v>
      </c>
      <c r="M234" s="9">
        <v>576.44569999999999</v>
      </c>
      <c r="N234" s="9">
        <v>11.717599999999999</v>
      </c>
      <c r="O234" s="9">
        <v>-6.7587999999999999</v>
      </c>
      <c r="P234" s="9">
        <v>30.194099999999999</v>
      </c>
      <c r="Q234" s="9">
        <v>13.3095</v>
      </c>
      <c r="R234" s="9">
        <v>26.480499999999999</v>
      </c>
      <c r="S234" s="9">
        <v>20.901499999999999</v>
      </c>
      <c r="T234" s="9">
        <v>32.059600000000003</v>
      </c>
      <c r="U234" s="9">
        <v>4.0187999999999997</v>
      </c>
      <c r="V234" s="9">
        <v>0.48720000000000002</v>
      </c>
      <c r="W234" s="9">
        <v>0.2142</v>
      </c>
      <c r="X234" s="9">
        <v>0.76029999999999998</v>
      </c>
      <c r="Y234" s="9">
        <v>0.19670000000000001</v>
      </c>
      <c r="Z234" s="9"/>
      <c r="AA234" s="9"/>
      <c r="AB234" s="9"/>
      <c r="AC234" s="9"/>
      <c r="AD234" s="8"/>
      <c r="AE234" s="8"/>
      <c r="AF234" s="8"/>
      <c r="AG234" s="8"/>
    </row>
    <row r="235" spans="1:33" x14ac:dyDescent="0.25">
      <c r="A235" s="8" t="s">
        <v>563</v>
      </c>
      <c r="B235" s="8" t="s">
        <v>163</v>
      </c>
      <c r="C235" s="8" t="s">
        <v>165</v>
      </c>
      <c r="D235" s="8" t="s">
        <v>102</v>
      </c>
      <c r="E235" s="8">
        <v>5</v>
      </c>
      <c r="F235" s="9">
        <v>1.01E-2</v>
      </c>
      <c r="G235" s="9">
        <v>8.2000000000000007E-3</v>
      </c>
      <c r="H235" s="9">
        <v>1.2E-2</v>
      </c>
      <c r="I235" s="9">
        <v>1.4E-3</v>
      </c>
      <c r="J235" s="9">
        <v>2.0000000000000001E-4</v>
      </c>
      <c r="K235" s="9">
        <v>1E-4</v>
      </c>
      <c r="L235" s="9">
        <v>2.0000000000000001E-4</v>
      </c>
      <c r="M235" s="9">
        <v>0</v>
      </c>
      <c r="N235" s="9">
        <v>1.37E-2</v>
      </c>
      <c r="O235" s="9">
        <v>1.2E-2</v>
      </c>
      <c r="P235" s="9">
        <v>1.5299999999999999E-2</v>
      </c>
      <c r="Q235" s="9">
        <v>1.1999999999999999E-3</v>
      </c>
      <c r="R235" s="9">
        <v>34.464199999999998</v>
      </c>
      <c r="S235" s="9">
        <v>17.804099999999998</v>
      </c>
      <c r="T235" s="9">
        <v>51.124299999999998</v>
      </c>
      <c r="U235" s="9">
        <v>12.000999999999999</v>
      </c>
      <c r="V235" s="9">
        <v>1.78E-2</v>
      </c>
      <c r="W235" s="9">
        <v>-0.29680000000000001</v>
      </c>
      <c r="X235" s="9">
        <v>0.33239999999999997</v>
      </c>
      <c r="Y235" s="9">
        <v>0.22670000000000001</v>
      </c>
      <c r="Z235" s="9"/>
      <c r="AA235" s="9"/>
      <c r="AB235" s="9"/>
      <c r="AC235" s="9"/>
      <c r="AD235" s="8"/>
      <c r="AE235" s="8"/>
      <c r="AF235" s="8"/>
      <c r="AG235" s="8"/>
    </row>
    <row r="236" spans="1:33" x14ac:dyDescent="0.25">
      <c r="A236" s="8" t="s">
        <v>563</v>
      </c>
      <c r="B236" s="8" t="s">
        <v>163</v>
      </c>
      <c r="C236" s="8" t="s">
        <v>165</v>
      </c>
      <c r="D236" s="8" t="s">
        <v>105</v>
      </c>
      <c r="E236" s="8">
        <v>5</v>
      </c>
      <c r="F236" s="9">
        <v>50.3977</v>
      </c>
      <c r="G236" s="9">
        <v>39.755800000000001</v>
      </c>
      <c r="H236" s="9">
        <v>61.0396</v>
      </c>
      <c r="I236" s="9">
        <v>7.6657999999999999</v>
      </c>
      <c r="J236" s="9">
        <v>4287.8145000000004</v>
      </c>
      <c r="K236" s="9">
        <v>2123.3186000000001</v>
      </c>
      <c r="L236" s="9">
        <v>6452.3104000000003</v>
      </c>
      <c r="M236" s="9">
        <v>1559.1850999999999</v>
      </c>
      <c r="N236" s="9">
        <v>64.493200000000002</v>
      </c>
      <c r="O236" s="9">
        <v>48.7607</v>
      </c>
      <c r="P236" s="9">
        <v>80.225700000000003</v>
      </c>
      <c r="Q236" s="9">
        <v>11.332800000000001</v>
      </c>
      <c r="R236" s="9">
        <v>53.994300000000003</v>
      </c>
      <c r="S236" s="9">
        <v>42.970199999999998</v>
      </c>
      <c r="T236" s="9">
        <v>65.0184</v>
      </c>
      <c r="U236" s="9">
        <v>7.9412000000000003</v>
      </c>
      <c r="V236" s="9">
        <v>0.2555</v>
      </c>
      <c r="W236" s="9">
        <v>-8.1900000000000001E-2</v>
      </c>
      <c r="X236" s="9">
        <v>0.59279999999999999</v>
      </c>
      <c r="Y236" s="9">
        <v>0.24299999999999999</v>
      </c>
      <c r="Z236" s="9"/>
      <c r="AA236" s="9"/>
      <c r="AB236" s="9"/>
      <c r="AC236" s="9"/>
      <c r="AD236" s="8"/>
      <c r="AE236" s="8"/>
      <c r="AF236" s="8"/>
      <c r="AG236" s="8"/>
    </row>
    <row r="237" spans="1:33" x14ac:dyDescent="0.25">
      <c r="A237" s="8" t="s">
        <v>563</v>
      </c>
      <c r="B237" s="8" t="s">
        <v>163</v>
      </c>
      <c r="C237" s="8" t="s">
        <v>165</v>
      </c>
      <c r="D237" s="8" t="s">
        <v>104</v>
      </c>
      <c r="E237" s="8">
        <v>5</v>
      </c>
      <c r="F237" s="9">
        <v>8.8733000000000004</v>
      </c>
      <c r="G237" s="9">
        <v>7.2804000000000002</v>
      </c>
      <c r="H237" s="9">
        <v>10.466200000000001</v>
      </c>
      <c r="I237" s="9">
        <v>1.1474</v>
      </c>
      <c r="J237" s="9">
        <v>170.202</v>
      </c>
      <c r="K237" s="9">
        <v>77.841700000000003</v>
      </c>
      <c r="L237" s="9">
        <v>262.56220000000002</v>
      </c>
      <c r="M237" s="9">
        <v>66.531300000000002</v>
      </c>
      <c r="N237" s="9">
        <v>12.799799999999999</v>
      </c>
      <c r="O237" s="9">
        <v>9.2967999999999993</v>
      </c>
      <c r="P237" s="9">
        <v>16.302700000000002</v>
      </c>
      <c r="Q237" s="9">
        <v>2.5232999999999999</v>
      </c>
      <c r="R237" s="9">
        <v>58.098500000000001</v>
      </c>
      <c r="S237" s="9">
        <v>44.966999999999999</v>
      </c>
      <c r="T237" s="9">
        <v>71.23</v>
      </c>
      <c r="U237" s="9">
        <v>9.4591999999999992</v>
      </c>
      <c r="V237" s="9">
        <v>0.28320000000000001</v>
      </c>
      <c r="W237" s="9">
        <v>5.1900000000000002E-2</v>
      </c>
      <c r="X237" s="9">
        <v>0.51439999999999997</v>
      </c>
      <c r="Y237" s="9">
        <v>0.1666</v>
      </c>
      <c r="Z237" s="9"/>
      <c r="AA237" s="9"/>
      <c r="AB237" s="9"/>
      <c r="AC237" s="9"/>
      <c r="AD237" s="8"/>
      <c r="AE237" s="8"/>
      <c r="AF237" s="8"/>
      <c r="AG237" s="8"/>
    </row>
    <row r="238" spans="1:33" x14ac:dyDescent="0.25">
      <c r="A238" s="8" t="s">
        <v>563</v>
      </c>
      <c r="B238" s="8" t="s">
        <v>163</v>
      </c>
      <c r="C238" s="8" t="s">
        <v>165</v>
      </c>
      <c r="D238" s="8" t="s">
        <v>103</v>
      </c>
      <c r="E238" s="8">
        <v>5</v>
      </c>
      <c r="F238" s="9">
        <v>2.4807999999999999</v>
      </c>
      <c r="G238" s="9">
        <v>1.1904999999999999</v>
      </c>
      <c r="H238" s="9">
        <v>3.7711000000000001</v>
      </c>
      <c r="I238" s="9">
        <v>0.92949999999999999</v>
      </c>
      <c r="J238" s="9">
        <v>26.6678</v>
      </c>
      <c r="K238" s="9">
        <v>-11.042299999999999</v>
      </c>
      <c r="L238" s="9">
        <v>64.377899999999997</v>
      </c>
      <c r="M238" s="9">
        <v>27.164300000000001</v>
      </c>
      <c r="N238" s="9">
        <v>4.3650000000000002</v>
      </c>
      <c r="O238" s="9">
        <v>0.5343</v>
      </c>
      <c r="P238" s="9">
        <v>8.1957000000000004</v>
      </c>
      <c r="Q238" s="9">
        <v>2.7593999999999999</v>
      </c>
      <c r="R238" s="9">
        <v>59.000500000000002</v>
      </c>
      <c r="S238" s="9">
        <v>42.418100000000003</v>
      </c>
      <c r="T238" s="9">
        <v>75.582800000000006</v>
      </c>
      <c r="U238" s="9">
        <v>11.945</v>
      </c>
      <c r="V238" s="9">
        <v>0.49990000000000001</v>
      </c>
      <c r="W238" s="9">
        <v>0.157</v>
      </c>
      <c r="X238" s="9">
        <v>0.84289999999999998</v>
      </c>
      <c r="Y238" s="9">
        <v>0.247</v>
      </c>
      <c r="Z238" s="9"/>
      <c r="AA238" s="9"/>
      <c r="AB238" s="9"/>
      <c r="AC238" s="9"/>
      <c r="AD238" s="8"/>
      <c r="AE238" s="8"/>
      <c r="AF238" s="8"/>
      <c r="AG238" s="8"/>
    </row>
    <row r="239" spans="1:33" x14ac:dyDescent="0.25">
      <c r="A239" s="8" t="s">
        <v>563</v>
      </c>
      <c r="B239" s="8" t="s">
        <v>163</v>
      </c>
      <c r="C239" s="8" t="s">
        <v>165</v>
      </c>
      <c r="D239" s="8" t="s">
        <v>106</v>
      </c>
      <c r="E239" s="8">
        <v>5</v>
      </c>
      <c r="F239" s="9">
        <v>0.28339999999999999</v>
      </c>
      <c r="G239" s="9">
        <v>0.2223</v>
      </c>
      <c r="H239" s="9">
        <v>0.34460000000000002</v>
      </c>
      <c r="I239" s="9">
        <v>4.41E-2</v>
      </c>
      <c r="J239" s="9">
        <v>0.1764</v>
      </c>
      <c r="K239" s="9">
        <v>3.7900000000000003E-2</v>
      </c>
      <c r="L239" s="9">
        <v>0.31490000000000001</v>
      </c>
      <c r="M239" s="9">
        <v>9.98E-2</v>
      </c>
      <c r="N239" s="9">
        <v>0.40710000000000002</v>
      </c>
      <c r="O239" s="9">
        <v>0.26369999999999999</v>
      </c>
      <c r="P239" s="9">
        <v>0.55049999999999999</v>
      </c>
      <c r="Q239" s="9">
        <v>0.1033</v>
      </c>
      <c r="R239" s="9">
        <v>73.802300000000002</v>
      </c>
      <c r="S239" s="9">
        <v>35.943300000000001</v>
      </c>
      <c r="T239" s="9">
        <v>111.6613</v>
      </c>
      <c r="U239" s="9">
        <v>27.271599999999999</v>
      </c>
      <c r="V239" s="9">
        <v>-0.34760000000000002</v>
      </c>
      <c r="W239" s="9">
        <v>-1.3016000000000001</v>
      </c>
      <c r="X239" s="9">
        <v>0.60629999999999995</v>
      </c>
      <c r="Y239" s="9">
        <v>0.68720000000000003</v>
      </c>
      <c r="Z239" s="9"/>
      <c r="AA239" s="9"/>
      <c r="AB239" s="9"/>
      <c r="AC239" s="9"/>
      <c r="AD239" s="8"/>
      <c r="AE239" s="8"/>
      <c r="AF239" s="8"/>
      <c r="AG239" s="8"/>
    </row>
    <row r="240" spans="1:33" x14ac:dyDescent="0.25">
      <c r="A240" s="8" t="s">
        <v>563</v>
      </c>
      <c r="B240" s="8" t="s">
        <v>163</v>
      </c>
      <c r="C240" s="8" t="s">
        <v>165</v>
      </c>
      <c r="D240" s="8" t="s">
        <v>99</v>
      </c>
      <c r="E240" s="8">
        <v>5</v>
      </c>
      <c r="F240" s="9">
        <v>0.95989999999999998</v>
      </c>
      <c r="G240" s="9">
        <v>0.85929999999999995</v>
      </c>
      <c r="H240" s="9">
        <v>1.0604</v>
      </c>
      <c r="I240" s="9">
        <v>7.2400000000000006E-2</v>
      </c>
      <c r="J240" s="9">
        <v>1.4119999999999999</v>
      </c>
      <c r="K240" s="9">
        <v>1.0953999999999999</v>
      </c>
      <c r="L240" s="9">
        <v>1.7284999999999999</v>
      </c>
      <c r="M240" s="9">
        <v>0.22800000000000001</v>
      </c>
      <c r="N240" s="9">
        <v>1.1841999999999999</v>
      </c>
      <c r="O240" s="9">
        <v>1.0482</v>
      </c>
      <c r="P240" s="9">
        <v>1.3203</v>
      </c>
      <c r="Q240" s="9">
        <v>9.8000000000000004E-2</v>
      </c>
      <c r="R240" s="9">
        <v>34.177300000000002</v>
      </c>
      <c r="S240" s="9">
        <v>25.1417</v>
      </c>
      <c r="T240" s="9">
        <v>43.212800000000001</v>
      </c>
      <c r="U240" s="9">
        <v>6.5087000000000002</v>
      </c>
      <c r="V240" s="9">
        <v>-3.0200000000000001E-2</v>
      </c>
      <c r="W240" s="9">
        <v>-0.26500000000000001</v>
      </c>
      <c r="X240" s="9">
        <v>0.20449999999999999</v>
      </c>
      <c r="Y240" s="9">
        <v>0.1691</v>
      </c>
      <c r="Z240" s="9"/>
      <c r="AA240" s="9"/>
      <c r="AB240" s="9"/>
      <c r="AC240" s="9"/>
      <c r="AD240" s="8"/>
      <c r="AE240" s="8"/>
      <c r="AF240" s="8"/>
      <c r="AG240" s="8"/>
    </row>
    <row r="241" spans="1:33" x14ac:dyDescent="0.25">
      <c r="A241" s="8" t="s">
        <v>563</v>
      </c>
      <c r="B241" s="8" t="s">
        <v>163</v>
      </c>
      <c r="C241" s="8" t="s">
        <v>131</v>
      </c>
      <c r="D241" s="8" t="s">
        <v>101</v>
      </c>
      <c r="E241" s="8">
        <v>5</v>
      </c>
      <c r="F241" s="9">
        <v>49.181699999999999</v>
      </c>
      <c r="G241" s="9">
        <v>36.645499999999998</v>
      </c>
      <c r="H241" s="9">
        <v>61.717799999999997</v>
      </c>
      <c r="I241" s="9">
        <v>9.0303000000000004</v>
      </c>
      <c r="J241" s="9">
        <v>5479.5735999999997</v>
      </c>
      <c r="K241" s="9">
        <v>2555.9452999999999</v>
      </c>
      <c r="L241" s="9">
        <v>8403.2019</v>
      </c>
      <c r="M241" s="9">
        <v>2106.0227</v>
      </c>
      <c r="N241" s="9">
        <v>72.282799999999995</v>
      </c>
      <c r="O241" s="9">
        <v>50.124299999999998</v>
      </c>
      <c r="P241" s="9">
        <v>94.441199999999995</v>
      </c>
      <c r="Q241" s="9">
        <v>15.9618</v>
      </c>
      <c r="R241" s="9">
        <v>23.642499999999998</v>
      </c>
      <c r="S241" s="9">
        <v>14.294</v>
      </c>
      <c r="T241" s="9">
        <v>32.991100000000003</v>
      </c>
      <c r="U241" s="9">
        <v>6.7342000000000004</v>
      </c>
      <c r="V241" s="9">
        <v>0.19850000000000001</v>
      </c>
      <c r="W241" s="9">
        <v>-2.7000000000000001E-3</v>
      </c>
      <c r="X241" s="9">
        <v>0.39960000000000001</v>
      </c>
      <c r="Y241" s="9">
        <v>0.1449</v>
      </c>
      <c r="Z241" s="9"/>
      <c r="AA241" s="9"/>
      <c r="AB241" s="9"/>
      <c r="AC241" s="9"/>
      <c r="AD241" s="8"/>
      <c r="AE241" s="8"/>
      <c r="AF241" s="8"/>
      <c r="AG241" s="8"/>
    </row>
    <row r="242" spans="1:33" x14ac:dyDescent="0.25">
      <c r="A242" s="8" t="s">
        <v>563</v>
      </c>
      <c r="B242" s="8" t="s">
        <v>163</v>
      </c>
      <c r="C242" s="8" t="s">
        <v>131</v>
      </c>
      <c r="D242" s="8" t="s">
        <v>100</v>
      </c>
      <c r="E242" s="8">
        <v>5</v>
      </c>
      <c r="F242" s="9">
        <v>5.8434999999999997</v>
      </c>
      <c r="G242" s="9">
        <v>2.2086999999999999</v>
      </c>
      <c r="H242" s="9">
        <v>9.4781999999999993</v>
      </c>
      <c r="I242" s="9">
        <v>2.6183000000000001</v>
      </c>
      <c r="J242" s="9">
        <v>335.5797</v>
      </c>
      <c r="K242" s="9">
        <v>-461.22840000000002</v>
      </c>
      <c r="L242" s="9">
        <v>1132.3877</v>
      </c>
      <c r="M242" s="9">
        <v>573.97709999999995</v>
      </c>
      <c r="N242" s="9">
        <v>13.083399999999999</v>
      </c>
      <c r="O242" s="9">
        <v>-4.7163000000000004</v>
      </c>
      <c r="P242" s="9">
        <v>30.883199999999999</v>
      </c>
      <c r="Q242" s="9">
        <v>12.821999999999999</v>
      </c>
      <c r="R242" s="9">
        <v>34.9876</v>
      </c>
      <c r="S242" s="9">
        <v>21.7545</v>
      </c>
      <c r="T242" s="9">
        <v>48.220799999999997</v>
      </c>
      <c r="U242" s="9">
        <v>9.5324000000000009</v>
      </c>
      <c r="V242" s="9">
        <v>0.1603</v>
      </c>
      <c r="W242" s="9">
        <v>-0.50380000000000003</v>
      </c>
      <c r="X242" s="9">
        <v>0.82450000000000001</v>
      </c>
      <c r="Y242" s="9">
        <v>0.47839999999999999</v>
      </c>
      <c r="Z242" s="9"/>
      <c r="AA242" s="9"/>
      <c r="AB242" s="9"/>
      <c r="AC242" s="9"/>
      <c r="AD242" s="8"/>
      <c r="AE242" s="8"/>
      <c r="AF242" s="8"/>
      <c r="AG242" s="8"/>
    </row>
    <row r="243" spans="1:33" x14ac:dyDescent="0.25">
      <c r="A243" s="8" t="s">
        <v>563</v>
      </c>
      <c r="B243" s="8" t="s">
        <v>163</v>
      </c>
      <c r="C243" s="8" t="s">
        <v>131</v>
      </c>
      <c r="D243" s="8" t="s">
        <v>102</v>
      </c>
      <c r="E243" s="8">
        <v>5</v>
      </c>
      <c r="F243" s="9">
        <v>1.0500000000000001E-2</v>
      </c>
      <c r="G243" s="9">
        <v>8.5000000000000006E-3</v>
      </c>
      <c r="H243" s="9">
        <v>1.2500000000000001E-2</v>
      </c>
      <c r="I243" s="9">
        <v>1.4E-3</v>
      </c>
      <c r="J243" s="9">
        <v>2.0000000000000001E-4</v>
      </c>
      <c r="K243" s="9">
        <v>1E-4</v>
      </c>
      <c r="L243" s="9">
        <v>4.0000000000000002E-4</v>
      </c>
      <c r="M243" s="9">
        <v>1E-4</v>
      </c>
      <c r="N243" s="9">
        <v>1.46E-2</v>
      </c>
      <c r="O243" s="9">
        <v>1.14E-2</v>
      </c>
      <c r="P243" s="9">
        <v>1.78E-2</v>
      </c>
      <c r="Q243" s="9">
        <v>2.3E-3</v>
      </c>
      <c r="R243" s="9">
        <v>37.250900000000001</v>
      </c>
      <c r="S243" s="9">
        <v>14.055099999999999</v>
      </c>
      <c r="T243" s="9">
        <v>60.446599999999997</v>
      </c>
      <c r="U243" s="9">
        <v>16.709</v>
      </c>
      <c r="V243" s="9">
        <v>-0.1205</v>
      </c>
      <c r="W243" s="9">
        <v>-0.5857</v>
      </c>
      <c r="X243" s="9">
        <v>0.3448</v>
      </c>
      <c r="Y243" s="9">
        <v>0.3352</v>
      </c>
      <c r="Z243" s="9"/>
      <c r="AA243" s="9"/>
      <c r="AB243" s="9"/>
      <c r="AC243" s="9"/>
      <c r="AD243" s="8"/>
      <c r="AE243" s="8"/>
      <c r="AF243" s="8"/>
      <c r="AG243" s="8"/>
    </row>
    <row r="244" spans="1:33" x14ac:dyDescent="0.25">
      <c r="A244" s="8" t="s">
        <v>563</v>
      </c>
      <c r="B244" s="8" t="s">
        <v>163</v>
      </c>
      <c r="C244" s="8" t="s">
        <v>131</v>
      </c>
      <c r="D244" s="8" t="s">
        <v>105</v>
      </c>
      <c r="E244" s="8">
        <v>5</v>
      </c>
      <c r="F244" s="9">
        <v>50.869799999999998</v>
      </c>
      <c r="G244" s="9">
        <v>45.108600000000003</v>
      </c>
      <c r="H244" s="9">
        <v>56.631</v>
      </c>
      <c r="I244" s="9">
        <v>4.1501000000000001</v>
      </c>
      <c r="J244" s="9">
        <v>4520.55</v>
      </c>
      <c r="K244" s="9">
        <v>3167.7673</v>
      </c>
      <c r="L244" s="9">
        <v>5873.3326999999999</v>
      </c>
      <c r="M244" s="9">
        <v>974.471</v>
      </c>
      <c r="N244" s="9">
        <v>66.843699999999998</v>
      </c>
      <c r="O244" s="9">
        <v>56.787300000000002</v>
      </c>
      <c r="P244" s="9">
        <v>76.900000000000006</v>
      </c>
      <c r="Q244" s="9">
        <v>7.2441000000000004</v>
      </c>
      <c r="R244" s="9">
        <v>52.323399999999999</v>
      </c>
      <c r="S244" s="9">
        <v>49.531799999999997</v>
      </c>
      <c r="T244" s="9">
        <v>55.115000000000002</v>
      </c>
      <c r="U244" s="9">
        <v>2.0108999999999999</v>
      </c>
      <c r="V244" s="9">
        <v>0.2215</v>
      </c>
      <c r="W244" s="9">
        <v>0.11210000000000001</v>
      </c>
      <c r="X244" s="9">
        <v>0.33090000000000003</v>
      </c>
      <c r="Y244" s="9">
        <v>7.8799999999999995E-2</v>
      </c>
      <c r="Z244" s="9"/>
      <c r="AA244" s="9"/>
      <c r="AB244" s="9"/>
      <c r="AC244" s="9"/>
      <c r="AD244" s="8"/>
      <c r="AE244" s="8"/>
      <c r="AF244" s="8"/>
      <c r="AG244" s="8"/>
    </row>
    <row r="245" spans="1:33" x14ac:dyDescent="0.25">
      <c r="A245" s="8" t="s">
        <v>563</v>
      </c>
      <c r="B245" s="8" t="s">
        <v>163</v>
      </c>
      <c r="C245" s="8" t="s">
        <v>131</v>
      </c>
      <c r="D245" s="8" t="s">
        <v>104</v>
      </c>
      <c r="E245" s="8">
        <v>5</v>
      </c>
      <c r="F245" s="9">
        <v>11.3185</v>
      </c>
      <c r="G245" s="9">
        <v>9.5093999999999994</v>
      </c>
      <c r="H245" s="9">
        <v>13.127599999999999</v>
      </c>
      <c r="I245" s="9">
        <v>1.3031999999999999</v>
      </c>
      <c r="J245" s="9">
        <v>247.01589999999999</v>
      </c>
      <c r="K245" s="9">
        <v>124.1118</v>
      </c>
      <c r="L245" s="9">
        <v>369.92</v>
      </c>
      <c r="M245" s="9">
        <v>88.5334</v>
      </c>
      <c r="N245" s="9">
        <v>15.462999999999999</v>
      </c>
      <c r="O245" s="9">
        <v>11.5581</v>
      </c>
      <c r="P245" s="9">
        <v>19.367899999999999</v>
      </c>
      <c r="Q245" s="9">
        <v>2.8129</v>
      </c>
      <c r="R245" s="9">
        <v>76.788899999999998</v>
      </c>
      <c r="S245" s="9">
        <v>48.995100000000001</v>
      </c>
      <c r="T245" s="9">
        <v>104.5827</v>
      </c>
      <c r="U245" s="9">
        <v>20.021100000000001</v>
      </c>
      <c r="V245" s="9">
        <v>-4.48E-2</v>
      </c>
      <c r="W245" s="9">
        <v>-0.32619999999999999</v>
      </c>
      <c r="X245" s="9">
        <v>0.2366</v>
      </c>
      <c r="Y245" s="9">
        <v>0.20269999999999999</v>
      </c>
      <c r="Z245" s="9"/>
      <c r="AA245" s="9"/>
      <c r="AB245" s="9"/>
      <c r="AC245" s="9"/>
      <c r="AD245" s="8"/>
      <c r="AE245" s="8"/>
      <c r="AF245" s="8"/>
      <c r="AG245" s="8"/>
    </row>
    <row r="246" spans="1:33" x14ac:dyDescent="0.25">
      <c r="A246" s="8" t="s">
        <v>563</v>
      </c>
      <c r="B246" s="8" t="s">
        <v>163</v>
      </c>
      <c r="C246" s="8" t="s">
        <v>131</v>
      </c>
      <c r="D246" s="8" t="s">
        <v>103</v>
      </c>
      <c r="E246" s="8">
        <v>5</v>
      </c>
      <c r="F246" s="9">
        <v>2.9375</v>
      </c>
      <c r="G246" s="9">
        <v>1.4930000000000001</v>
      </c>
      <c r="H246" s="9">
        <v>4.3821000000000003</v>
      </c>
      <c r="I246" s="9">
        <v>1.0406</v>
      </c>
      <c r="J246" s="9">
        <v>32.209299999999999</v>
      </c>
      <c r="K246" s="9">
        <v>-5.1929999999999996</v>
      </c>
      <c r="L246" s="9">
        <v>69.611699999999999</v>
      </c>
      <c r="M246" s="9">
        <v>26.942599999999999</v>
      </c>
      <c r="N246" s="9">
        <v>5.1239999999999997</v>
      </c>
      <c r="O246" s="9">
        <v>1.7365999999999999</v>
      </c>
      <c r="P246" s="9">
        <v>8.5114000000000001</v>
      </c>
      <c r="Q246" s="9">
        <v>2.4401000000000002</v>
      </c>
      <c r="R246" s="9">
        <v>68.384100000000004</v>
      </c>
      <c r="S246" s="9">
        <v>50.688299999999998</v>
      </c>
      <c r="T246" s="9">
        <v>86.079899999999995</v>
      </c>
      <c r="U246" s="9">
        <v>12.7471</v>
      </c>
      <c r="V246" s="9">
        <v>9.2999999999999999E-2</v>
      </c>
      <c r="W246" s="9">
        <v>-0.74270000000000003</v>
      </c>
      <c r="X246" s="9">
        <v>0.92879999999999996</v>
      </c>
      <c r="Y246" s="9">
        <v>0.60199999999999998</v>
      </c>
      <c r="Z246" s="9"/>
      <c r="AA246" s="9"/>
      <c r="AB246" s="9"/>
      <c r="AC246" s="9"/>
      <c r="AD246" s="8"/>
      <c r="AE246" s="8"/>
      <c r="AF246" s="8"/>
      <c r="AG246" s="8"/>
    </row>
    <row r="247" spans="1:33" x14ac:dyDescent="0.25">
      <c r="A247" s="8" t="s">
        <v>563</v>
      </c>
      <c r="B247" s="8" t="s">
        <v>163</v>
      </c>
      <c r="C247" s="8" t="s">
        <v>131</v>
      </c>
      <c r="D247" s="8" t="s">
        <v>106</v>
      </c>
      <c r="E247" s="8">
        <v>5</v>
      </c>
      <c r="F247" s="9">
        <v>0.27710000000000001</v>
      </c>
      <c r="G247" s="9">
        <v>0.2482</v>
      </c>
      <c r="H247" s="9">
        <v>0.30599999999999999</v>
      </c>
      <c r="I247" s="9">
        <v>2.0799999999999999E-2</v>
      </c>
      <c r="J247" s="9">
        <v>0.1454</v>
      </c>
      <c r="K247" s="9">
        <v>0.106</v>
      </c>
      <c r="L247" s="9">
        <v>0.18490000000000001</v>
      </c>
      <c r="M247" s="9">
        <v>2.8400000000000002E-2</v>
      </c>
      <c r="N247" s="9">
        <v>0.3795</v>
      </c>
      <c r="O247" s="9">
        <v>0.32700000000000001</v>
      </c>
      <c r="P247" s="9">
        <v>0.432</v>
      </c>
      <c r="Q247" s="9">
        <v>3.78E-2</v>
      </c>
      <c r="R247" s="9">
        <v>64.915999999999997</v>
      </c>
      <c r="S247" s="9">
        <v>36.171900000000001</v>
      </c>
      <c r="T247" s="9">
        <v>93.6601</v>
      </c>
      <c r="U247" s="9">
        <v>20.7057</v>
      </c>
      <c r="V247" s="9">
        <v>-0.1983</v>
      </c>
      <c r="W247" s="9">
        <v>-0.9637</v>
      </c>
      <c r="X247" s="9">
        <v>0.56699999999999995</v>
      </c>
      <c r="Y247" s="9">
        <v>0.55130000000000001</v>
      </c>
      <c r="Z247" s="9"/>
      <c r="AA247" s="9"/>
      <c r="AB247" s="9"/>
      <c r="AC247" s="9"/>
      <c r="AD247" s="8"/>
      <c r="AE247" s="8"/>
      <c r="AF247" s="8"/>
      <c r="AG247" s="8"/>
    </row>
    <row r="248" spans="1:33" x14ac:dyDescent="0.25">
      <c r="A248" s="8" t="s">
        <v>563</v>
      </c>
      <c r="B248" s="8" t="s">
        <v>163</v>
      </c>
      <c r="C248" s="8" t="s">
        <v>131</v>
      </c>
      <c r="D248" s="8" t="s">
        <v>99</v>
      </c>
      <c r="E248" s="8">
        <v>5</v>
      </c>
      <c r="F248" s="9">
        <v>1.0376000000000001</v>
      </c>
      <c r="G248" s="9">
        <v>0.87250000000000005</v>
      </c>
      <c r="H248" s="9">
        <v>1.2025999999999999</v>
      </c>
      <c r="I248" s="9">
        <v>0.11890000000000001</v>
      </c>
      <c r="J248" s="9">
        <v>1.7686999999999999</v>
      </c>
      <c r="K248" s="9">
        <v>1.1142000000000001</v>
      </c>
      <c r="L248" s="9">
        <v>2.4232</v>
      </c>
      <c r="M248" s="9">
        <v>0.47149999999999997</v>
      </c>
      <c r="N248" s="9">
        <v>1.3187</v>
      </c>
      <c r="O248" s="9">
        <v>1.0798000000000001</v>
      </c>
      <c r="P248" s="9">
        <v>1.5576000000000001</v>
      </c>
      <c r="Q248" s="9">
        <v>0.1721</v>
      </c>
      <c r="R248" s="9">
        <v>37.197699999999998</v>
      </c>
      <c r="S248" s="9">
        <v>20.039000000000001</v>
      </c>
      <c r="T248" s="9">
        <v>54.356400000000001</v>
      </c>
      <c r="U248" s="9">
        <v>12.360200000000001</v>
      </c>
      <c r="V248" s="9">
        <v>-0.26840000000000003</v>
      </c>
      <c r="W248" s="9">
        <v>-0.58360000000000001</v>
      </c>
      <c r="X248" s="9">
        <v>4.6899999999999997E-2</v>
      </c>
      <c r="Y248" s="9">
        <v>0.2271</v>
      </c>
      <c r="Z248" s="9"/>
      <c r="AA248" s="9"/>
      <c r="AB248" s="9"/>
      <c r="AC248" s="9"/>
      <c r="AD248" s="8"/>
      <c r="AE248" s="8"/>
      <c r="AF248" s="8"/>
      <c r="AG248" s="8"/>
    </row>
    <row r="249" spans="1:33" x14ac:dyDescent="0.25">
      <c r="A249" s="8" t="s">
        <v>563</v>
      </c>
      <c r="B249" s="8" t="s">
        <v>163</v>
      </c>
      <c r="C249" s="8" t="s">
        <v>132</v>
      </c>
      <c r="D249" s="8" t="s">
        <v>101</v>
      </c>
      <c r="E249" s="8">
        <v>5</v>
      </c>
      <c r="F249" s="9">
        <v>45.391800000000003</v>
      </c>
      <c r="G249" s="9">
        <v>32.4559</v>
      </c>
      <c r="H249" s="9">
        <v>58.327599999999997</v>
      </c>
      <c r="I249" s="9">
        <v>9.3183000000000007</v>
      </c>
      <c r="J249" s="9">
        <v>4263.1466</v>
      </c>
      <c r="K249" s="9">
        <v>1627.4912999999999</v>
      </c>
      <c r="L249" s="9">
        <v>6898.8019000000004</v>
      </c>
      <c r="M249" s="9">
        <v>1898.5826999999999</v>
      </c>
      <c r="N249" s="9">
        <v>63.502299999999998</v>
      </c>
      <c r="O249" s="9">
        <v>42.421300000000002</v>
      </c>
      <c r="P249" s="9">
        <v>84.583299999999994</v>
      </c>
      <c r="Q249" s="9">
        <v>15.185600000000001</v>
      </c>
      <c r="R249" s="9">
        <v>21.977599999999999</v>
      </c>
      <c r="S249" s="9">
        <v>13.852</v>
      </c>
      <c r="T249" s="9">
        <v>30.103300000000001</v>
      </c>
      <c r="U249" s="9">
        <v>5.8532999999999999</v>
      </c>
      <c r="V249" s="9">
        <v>0.38479999999999998</v>
      </c>
      <c r="W249" s="9">
        <v>0.2288</v>
      </c>
      <c r="X249" s="9">
        <v>0.54069999999999996</v>
      </c>
      <c r="Y249" s="9">
        <v>0.1124</v>
      </c>
      <c r="Z249" s="9"/>
      <c r="AA249" s="9"/>
      <c r="AB249" s="9"/>
      <c r="AC249" s="9"/>
      <c r="AD249" s="8"/>
      <c r="AE249" s="8"/>
      <c r="AF249" s="8"/>
      <c r="AG249" s="8"/>
    </row>
    <row r="250" spans="1:33" x14ac:dyDescent="0.25">
      <c r="A250" s="8" t="s">
        <v>563</v>
      </c>
      <c r="B250" s="8" t="s">
        <v>163</v>
      </c>
      <c r="C250" s="8" t="s">
        <v>132</v>
      </c>
      <c r="D250" s="8" t="s">
        <v>100</v>
      </c>
      <c r="E250" s="8">
        <v>5</v>
      </c>
      <c r="F250" s="9">
        <v>4.6776999999999997</v>
      </c>
      <c r="G250" s="9">
        <v>0.74019999999999997</v>
      </c>
      <c r="H250" s="9">
        <v>8.6152999999999995</v>
      </c>
      <c r="I250" s="9">
        <v>2.8363999999999998</v>
      </c>
      <c r="J250" s="9">
        <v>326.41160000000002</v>
      </c>
      <c r="K250" s="9">
        <v>-513.62270000000001</v>
      </c>
      <c r="L250" s="9">
        <v>1166.4458999999999</v>
      </c>
      <c r="M250" s="9">
        <v>605.11500000000001</v>
      </c>
      <c r="N250" s="9">
        <v>11.712899999999999</v>
      </c>
      <c r="O250" s="9">
        <v>-7.3830999999999998</v>
      </c>
      <c r="P250" s="9">
        <v>30.808900000000001</v>
      </c>
      <c r="Q250" s="9">
        <v>13.755699999999999</v>
      </c>
      <c r="R250" s="9">
        <v>26.204999999999998</v>
      </c>
      <c r="S250" s="9">
        <v>17.5351</v>
      </c>
      <c r="T250" s="9">
        <v>34.875</v>
      </c>
      <c r="U250" s="9">
        <v>6.2454000000000001</v>
      </c>
      <c r="V250" s="9">
        <v>0.50529999999999997</v>
      </c>
      <c r="W250" s="9">
        <v>0.18940000000000001</v>
      </c>
      <c r="X250" s="9">
        <v>0.82120000000000004</v>
      </c>
      <c r="Y250" s="9">
        <v>0.2276</v>
      </c>
      <c r="Z250" s="9"/>
      <c r="AA250" s="9"/>
      <c r="AB250" s="9"/>
      <c r="AC250" s="9"/>
      <c r="AD250" s="8"/>
      <c r="AE250" s="8"/>
      <c r="AF250" s="8"/>
      <c r="AG250" s="8"/>
    </row>
    <row r="251" spans="1:33" x14ac:dyDescent="0.25">
      <c r="A251" s="8" t="s">
        <v>563</v>
      </c>
      <c r="B251" s="8" t="s">
        <v>163</v>
      </c>
      <c r="C251" s="8" t="s">
        <v>132</v>
      </c>
      <c r="D251" s="8" t="s">
        <v>102</v>
      </c>
      <c r="E251" s="8">
        <v>5</v>
      </c>
      <c r="F251" s="9">
        <v>1.21E-2</v>
      </c>
      <c r="G251" s="9">
        <v>1.0500000000000001E-2</v>
      </c>
      <c r="H251" s="9">
        <v>1.37E-2</v>
      </c>
      <c r="I251" s="9">
        <v>1.1999999999999999E-3</v>
      </c>
      <c r="J251" s="9">
        <v>2.9999999999999997E-4</v>
      </c>
      <c r="K251" s="9">
        <v>2.0000000000000001E-4</v>
      </c>
      <c r="L251" s="9">
        <v>4.0000000000000002E-4</v>
      </c>
      <c r="M251" s="9">
        <v>1E-4</v>
      </c>
      <c r="N251" s="9">
        <v>1.7399999999999999E-2</v>
      </c>
      <c r="O251" s="9">
        <v>1.46E-2</v>
      </c>
      <c r="P251" s="9">
        <v>2.0199999999999999E-2</v>
      </c>
      <c r="Q251" s="9">
        <v>2E-3</v>
      </c>
      <c r="R251" s="9">
        <v>40.104199999999999</v>
      </c>
      <c r="S251" s="9">
        <v>19.738499999999998</v>
      </c>
      <c r="T251" s="9">
        <v>60.47</v>
      </c>
      <c r="U251" s="9">
        <v>14.670400000000001</v>
      </c>
      <c r="V251" s="9">
        <v>-0.61260000000000003</v>
      </c>
      <c r="W251" s="9">
        <v>-1.2718</v>
      </c>
      <c r="X251" s="9">
        <v>4.6600000000000003E-2</v>
      </c>
      <c r="Y251" s="9">
        <v>0.4748</v>
      </c>
      <c r="Z251" s="9"/>
      <c r="AA251" s="9"/>
      <c r="AB251" s="9"/>
      <c r="AC251" s="9"/>
      <c r="AD251" s="8"/>
      <c r="AE251" s="8"/>
      <c r="AF251" s="8"/>
      <c r="AG251" s="8"/>
    </row>
    <row r="252" spans="1:33" x14ac:dyDescent="0.25">
      <c r="A252" s="8" t="s">
        <v>563</v>
      </c>
      <c r="B252" s="8" t="s">
        <v>163</v>
      </c>
      <c r="C252" s="8" t="s">
        <v>132</v>
      </c>
      <c r="D252" s="8" t="s">
        <v>105</v>
      </c>
      <c r="E252" s="8">
        <v>5</v>
      </c>
      <c r="F252" s="9">
        <v>50.325600000000001</v>
      </c>
      <c r="G252" s="9">
        <v>37.062100000000001</v>
      </c>
      <c r="H252" s="9">
        <v>63.589100000000002</v>
      </c>
      <c r="I252" s="9">
        <v>9.5542999999999996</v>
      </c>
      <c r="J252" s="9">
        <v>4140.1176999999998</v>
      </c>
      <c r="K252" s="9">
        <v>2086.0282999999999</v>
      </c>
      <c r="L252" s="9">
        <v>6194.2070999999996</v>
      </c>
      <c r="M252" s="9">
        <v>1479.6541999999999</v>
      </c>
      <c r="N252" s="9">
        <v>63.400599999999997</v>
      </c>
      <c r="O252" s="9">
        <v>48.1631</v>
      </c>
      <c r="P252" s="9">
        <v>78.638099999999994</v>
      </c>
      <c r="Q252" s="9">
        <v>10.9763</v>
      </c>
      <c r="R252" s="9">
        <v>56.119300000000003</v>
      </c>
      <c r="S252" s="9">
        <v>44.837200000000003</v>
      </c>
      <c r="T252" s="9">
        <v>67.401499999999999</v>
      </c>
      <c r="U252" s="9">
        <v>8.1270000000000007</v>
      </c>
      <c r="V252" s="9">
        <v>0.27610000000000001</v>
      </c>
      <c r="W252" s="9">
        <v>-6.4100000000000004E-2</v>
      </c>
      <c r="X252" s="9">
        <v>0.61629999999999996</v>
      </c>
      <c r="Y252" s="9">
        <v>0.245</v>
      </c>
      <c r="Z252" s="9"/>
      <c r="AA252" s="9"/>
      <c r="AB252" s="9"/>
      <c r="AC252" s="9"/>
      <c r="AD252" s="8"/>
      <c r="AE252" s="8"/>
      <c r="AF252" s="8"/>
      <c r="AG252" s="8"/>
    </row>
    <row r="253" spans="1:33" x14ac:dyDescent="0.25">
      <c r="A253" s="8" t="s">
        <v>563</v>
      </c>
      <c r="B253" s="8" t="s">
        <v>163</v>
      </c>
      <c r="C253" s="8" t="s">
        <v>132</v>
      </c>
      <c r="D253" s="8" t="s">
        <v>104</v>
      </c>
      <c r="E253" s="8">
        <v>5</v>
      </c>
      <c r="F253" s="9">
        <v>10.3468</v>
      </c>
      <c r="G253" s="9">
        <v>8.1919000000000004</v>
      </c>
      <c r="H253" s="9">
        <v>12.501799999999999</v>
      </c>
      <c r="I253" s="9">
        <v>1.5523</v>
      </c>
      <c r="J253" s="9">
        <v>207.90020000000001</v>
      </c>
      <c r="K253" s="9">
        <v>100.96</v>
      </c>
      <c r="L253" s="9">
        <v>314.84050000000002</v>
      </c>
      <c r="M253" s="9">
        <v>77.033900000000003</v>
      </c>
      <c r="N253" s="9">
        <v>14.163</v>
      </c>
      <c r="O253" s="9">
        <v>10.41</v>
      </c>
      <c r="P253" s="9">
        <v>17.9161</v>
      </c>
      <c r="Q253" s="9">
        <v>2.7035</v>
      </c>
      <c r="R253" s="9">
        <v>74.751099999999994</v>
      </c>
      <c r="S253" s="9">
        <v>42.202599999999997</v>
      </c>
      <c r="T253" s="9">
        <v>107.2996</v>
      </c>
      <c r="U253" s="9">
        <v>23.446200000000001</v>
      </c>
      <c r="V253" s="9">
        <v>0.12870000000000001</v>
      </c>
      <c r="W253" s="9">
        <v>-8.7999999999999995E-2</v>
      </c>
      <c r="X253" s="9">
        <v>0.34549999999999997</v>
      </c>
      <c r="Y253" s="9">
        <v>0.15609999999999999</v>
      </c>
      <c r="Z253" s="9"/>
      <c r="AA253" s="9"/>
      <c r="AB253" s="9"/>
      <c r="AC253" s="9"/>
      <c r="AD253" s="8"/>
      <c r="AE253" s="8"/>
      <c r="AF253" s="8"/>
      <c r="AG253" s="8"/>
    </row>
    <row r="254" spans="1:33" x14ac:dyDescent="0.25">
      <c r="A254" s="8" t="s">
        <v>563</v>
      </c>
      <c r="B254" s="8" t="s">
        <v>163</v>
      </c>
      <c r="C254" s="8" t="s">
        <v>132</v>
      </c>
      <c r="D254" s="8" t="s">
        <v>103</v>
      </c>
      <c r="E254" s="8">
        <v>5</v>
      </c>
      <c r="F254" s="9">
        <v>4.0046999999999997</v>
      </c>
      <c r="G254" s="9">
        <v>2.6046</v>
      </c>
      <c r="H254" s="9">
        <v>5.4047000000000001</v>
      </c>
      <c r="I254" s="9">
        <v>1.0085</v>
      </c>
      <c r="J254" s="9">
        <v>43.801699999999997</v>
      </c>
      <c r="K254" s="9">
        <v>-4.6266999999999996</v>
      </c>
      <c r="L254" s="9">
        <v>92.230199999999996</v>
      </c>
      <c r="M254" s="9">
        <v>34.885199999999998</v>
      </c>
      <c r="N254" s="9">
        <v>6.077</v>
      </c>
      <c r="O254" s="9">
        <v>2.4380999999999999</v>
      </c>
      <c r="P254" s="9">
        <v>9.7159999999999993</v>
      </c>
      <c r="Q254" s="9">
        <v>2.6213000000000002</v>
      </c>
      <c r="R254" s="9">
        <v>99.5154</v>
      </c>
      <c r="S254" s="9">
        <v>73.627700000000004</v>
      </c>
      <c r="T254" s="9">
        <v>125.40300000000001</v>
      </c>
      <c r="U254" s="9">
        <v>18.648</v>
      </c>
      <c r="V254" s="9">
        <v>-0.20630000000000001</v>
      </c>
      <c r="W254" s="9">
        <v>-1.1691</v>
      </c>
      <c r="X254" s="9">
        <v>0.75649999999999995</v>
      </c>
      <c r="Y254" s="9">
        <v>0.69350000000000001</v>
      </c>
      <c r="Z254" s="9"/>
      <c r="AA254" s="9"/>
      <c r="AB254" s="9"/>
      <c r="AC254" s="9"/>
      <c r="AD254" s="8"/>
      <c r="AE254" s="8"/>
      <c r="AF254" s="8"/>
      <c r="AG254" s="8"/>
    </row>
    <row r="255" spans="1:33" x14ac:dyDescent="0.25">
      <c r="A255" s="8" t="s">
        <v>563</v>
      </c>
      <c r="B255" s="8" t="s">
        <v>163</v>
      </c>
      <c r="C255" s="8" t="s">
        <v>132</v>
      </c>
      <c r="D255" s="8" t="s">
        <v>106</v>
      </c>
      <c r="E255" s="8">
        <v>5</v>
      </c>
      <c r="F255" s="9">
        <v>0.28129999999999999</v>
      </c>
      <c r="G255" s="9">
        <v>0.23910000000000001</v>
      </c>
      <c r="H255" s="9">
        <v>0.32340000000000002</v>
      </c>
      <c r="I255" s="9">
        <v>3.04E-2</v>
      </c>
      <c r="J255" s="9">
        <v>0.13450000000000001</v>
      </c>
      <c r="K255" s="9">
        <v>0.1067</v>
      </c>
      <c r="L255" s="9">
        <v>0.1623</v>
      </c>
      <c r="M255" s="9">
        <v>0.02</v>
      </c>
      <c r="N255" s="9">
        <v>0.36570000000000003</v>
      </c>
      <c r="O255" s="9">
        <v>0.3271</v>
      </c>
      <c r="P255" s="9">
        <v>0.4042</v>
      </c>
      <c r="Q255" s="9">
        <v>2.7799999999999998E-2</v>
      </c>
      <c r="R255" s="9">
        <v>70.436899999999994</v>
      </c>
      <c r="S255" s="9">
        <v>32.478099999999998</v>
      </c>
      <c r="T255" s="9">
        <v>108.39579999999999</v>
      </c>
      <c r="U255" s="9">
        <v>27.343499999999999</v>
      </c>
      <c r="V255" s="9">
        <v>-8.2799999999999999E-2</v>
      </c>
      <c r="W255" s="9">
        <v>-0.64439999999999997</v>
      </c>
      <c r="X255" s="9">
        <v>0.4788</v>
      </c>
      <c r="Y255" s="9">
        <v>0.40460000000000002</v>
      </c>
      <c r="Z255" s="9"/>
      <c r="AA255" s="9"/>
      <c r="AB255" s="9"/>
      <c r="AC255" s="9"/>
      <c r="AD255" s="8"/>
      <c r="AE255" s="8"/>
      <c r="AF255" s="8"/>
      <c r="AG255" s="8"/>
    </row>
    <row r="256" spans="1:33" x14ac:dyDescent="0.25">
      <c r="A256" s="8" t="s">
        <v>563</v>
      </c>
      <c r="B256" s="8" t="s">
        <v>163</v>
      </c>
      <c r="C256" s="8" t="s">
        <v>132</v>
      </c>
      <c r="D256" s="8" t="s">
        <v>99</v>
      </c>
      <c r="E256" s="8">
        <v>5</v>
      </c>
      <c r="F256" s="9">
        <v>0.93720000000000003</v>
      </c>
      <c r="G256" s="9">
        <v>0.84660000000000002</v>
      </c>
      <c r="H256" s="9">
        <v>1.0277000000000001</v>
      </c>
      <c r="I256" s="9">
        <v>6.5199999999999994E-2</v>
      </c>
      <c r="J256" s="9">
        <v>1.4061999999999999</v>
      </c>
      <c r="K256" s="9">
        <v>1.0018</v>
      </c>
      <c r="L256" s="9">
        <v>1.8107</v>
      </c>
      <c r="M256" s="9">
        <v>0.2913</v>
      </c>
      <c r="N256" s="9">
        <v>1.1795</v>
      </c>
      <c r="O256" s="9">
        <v>1.0094000000000001</v>
      </c>
      <c r="P256" s="9">
        <v>1.3495999999999999</v>
      </c>
      <c r="Q256" s="9">
        <v>0.1225</v>
      </c>
      <c r="R256" s="9">
        <v>34.636400000000002</v>
      </c>
      <c r="S256" s="9">
        <v>23.610199999999999</v>
      </c>
      <c r="T256" s="9">
        <v>45.662500000000001</v>
      </c>
      <c r="U256" s="9">
        <v>7.9425999999999997</v>
      </c>
      <c r="V256" s="9">
        <v>-8.3000000000000001E-3</v>
      </c>
      <c r="W256" s="9">
        <v>-0.1195</v>
      </c>
      <c r="X256" s="9">
        <v>0.10290000000000001</v>
      </c>
      <c r="Y256" s="9">
        <v>8.0100000000000005E-2</v>
      </c>
      <c r="Z256" s="9"/>
      <c r="AA256" s="9"/>
      <c r="AB256" s="9"/>
      <c r="AC256" s="9"/>
      <c r="AD256" s="8"/>
      <c r="AE256" s="8"/>
      <c r="AF256" s="8"/>
      <c r="AG256" s="8"/>
    </row>
    <row r="257" spans="1:33" x14ac:dyDescent="0.25">
      <c r="A257" s="8" t="s">
        <v>563</v>
      </c>
      <c r="B257" s="8" t="s">
        <v>163</v>
      </c>
      <c r="C257" s="8" t="s">
        <v>133</v>
      </c>
      <c r="D257" s="8" t="s">
        <v>101</v>
      </c>
      <c r="E257" s="8">
        <v>5</v>
      </c>
      <c r="F257" s="9">
        <v>62.5794</v>
      </c>
      <c r="G257" s="9">
        <v>43.902500000000003</v>
      </c>
      <c r="H257" s="9">
        <v>81.256299999999996</v>
      </c>
      <c r="I257" s="9">
        <v>13.453900000000001</v>
      </c>
      <c r="J257" s="9">
        <v>7249.2048999999997</v>
      </c>
      <c r="K257" s="9">
        <v>3263.2734</v>
      </c>
      <c r="L257" s="9">
        <v>11235.136399999999</v>
      </c>
      <c r="M257" s="9">
        <v>2871.2482</v>
      </c>
      <c r="N257" s="9">
        <v>83.341399999999993</v>
      </c>
      <c r="O257" s="9">
        <v>59.1599</v>
      </c>
      <c r="P257" s="9">
        <v>107.52290000000001</v>
      </c>
      <c r="Q257" s="9">
        <v>17.419</v>
      </c>
      <c r="R257" s="9">
        <v>33.1389</v>
      </c>
      <c r="S257" s="9">
        <v>14.439</v>
      </c>
      <c r="T257" s="9">
        <v>51.838799999999999</v>
      </c>
      <c r="U257" s="9">
        <v>13.4704</v>
      </c>
      <c r="V257" s="9">
        <v>-6.3E-2</v>
      </c>
      <c r="W257" s="9">
        <v>-0.16250000000000001</v>
      </c>
      <c r="X257" s="9">
        <v>3.6400000000000002E-2</v>
      </c>
      <c r="Y257" s="9">
        <v>7.1599999999999997E-2</v>
      </c>
      <c r="Z257" s="9"/>
      <c r="AA257" s="9"/>
      <c r="AB257" s="9"/>
      <c r="AC257" s="9"/>
      <c r="AD257" s="8"/>
      <c r="AE257" s="8"/>
      <c r="AF257" s="8"/>
      <c r="AG257" s="8"/>
    </row>
    <row r="258" spans="1:33" x14ac:dyDescent="0.25">
      <c r="A258" s="8" t="s">
        <v>563</v>
      </c>
      <c r="B258" s="8" t="s">
        <v>163</v>
      </c>
      <c r="C258" s="8" t="s">
        <v>133</v>
      </c>
      <c r="D258" s="8" t="s">
        <v>100</v>
      </c>
      <c r="E258" s="8">
        <v>5</v>
      </c>
      <c r="F258" s="9">
        <v>7.9805000000000001</v>
      </c>
      <c r="G258" s="9">
        <v>4.2920999999999996</v>
      </c>
      <c r="H258" s="9">
        <v>11.669</v>
      </c>
      <c r="I258" s="9">
        <v>2.657</v>
      </c>
      <c r="J258" s="9">
        <v>401.0924</v>
      </c>
      <c r="K258" s="9">
        <v>-529.3501</v>
      </c>
      <c r="L258" s="9">
        <v>1331.5349000000001</v>
      </c>
      <c r="M258" s="9">
        <v>670.24019999999996</v>
      </c>
      <c r="N258" s="9">
        <v>14.836399999999999</v>
      </c>
      <c r="O258" s="9">
        <v>-3.8389000000000002</v>
      </c>
      <c r="P258" s="9">
        <v>33.511699999999998</v>
      </c>
      <c r="Q258" s="9">
        <v>13.4527</v>
      </c>
      <c r="R258" s="9">
        <v>66.6751</v>
      </c>
      <c r="S258" s="9">
        <v>55.587200000000003</v>
      </c>
      <c r="T258" s="9">
        <v>77.763000000000005</v>
      </c>
      <c r="U258" s="9">
        <v>7.9870999999999999</v>
      </c>
      <c r="V258" s="9">
        <v>-6.8599999999999994E-2</v>
      </c>
      <c r="W258" s="9">
        <v>-0.1794</v>
      </c>
      <c r="X258" s="9">
        <v>4.2299999999999997E-2</v>
      </c>
      <c r="Y258" s="9">
        <v>7.9799999999999996E-2</v>
      </c>
      <c r="Z258" s="9"/>
      <c r="AA258" s="9"/>
      <c r="AB258" s="9"/>
      <c r="AC258" s="9"/>
      <c r="AD258" s="8"/>
      <c r="AE258" s="8"/>
      <c r="AF258" s="8"/>
      <c r="AG258" s="8"/>
    </row>
    <row r="259" spans="1:33" x14ac:dyDescent="0.25">
      <c r="A259" s="8" t="s">
        <v>563</v>
      </c>
      <c r="B259" s="8" t="s">
        <v>163</v>
      </c>
      <c r="C259" s="8" t="s">
        <v>133</v>
      </c>
      <c r="D259" s="8" t="s">
        <v>102</v>
      </c>
      <c r="E259" s="8">
        <v>5</v>
      </c>
      <c r="F259" s="9">
        <v>1.0999999999999999E-2</v>
      </c>
      <c r="G259" s="9">
        <v>9.7999999999999997E-3</v>
      </c>
      <c r="H259" s="9">
        <v>1.2200000000000001E-2</v>
      </c>
      <c r="I259" s="9">
        <v>8.9999999999999998E-4</v>
      </c>
      <c r="J259" s="9">
        <v>2.0000000000000001E-4</v>
      </c>
      <c r="K259" s="9">
        <v>2.0000000000000001E-4</v>
      </c>
      <c r="L259" s="9">
        <v>2.9999999999999997E-4</v>
      </c>
      <c r="M259" s="9">
        <v>0</v>
      </c>
      <c r="N259" s="9">
        <v>1.4800000000000001E-2</v>
      </c>
      <c r="O259" s="9">
        <v>1.2500000000000001E-2</v>
      </c>
      <c r="P259" s="9">
        <v>1.7100000000000001E-2</v>
      </c>
      <c r="Q259" s="9">
        <v>1.6999999999999999E-3</v>
      </c>
      <c r="R259" s="9">
        <v>38.710700000000003</v>
      </c>
      <c r="S259" s="9">
        <v>19.109400000000001</v>
      </c>
      <c r="T259" s="9">
        <v>58.311900000000001</v>
      </c>
      <c r="U259" s="9">
        <v>14.1197</v>
      </c>
      <c r="V259" s="9">
        <v>-0.1139</v>
      </c>
      <c r="W259" s="9">
        <v>-0.27479999999999999</v>
      </c>
      <c r="X259" s="9">
        <v>4.7E-2</v>
      </c>
      <c r="Y259" s="9">
        <v>0.1159</v>
      </c>
      <c r="Z259" s="9"/>
      <c r="AA259" s="9"/>
      <c r="AB259" s="9"/>
      <c r="AC259" s="9"/>
      <c r="AD259" s="8"/>
      <c r="AE259" s="8"/>
      <c r="AF259" s="8"/>
      <c r="AG259" s="8"/>
    </row>
    <row r="260" spans="1:33" x14ac:dyDescent="0.25">
      <c r="A260" s="8" t="s">
        <v>563</v>
      </c>
      <c r="B260" s="8" t="s">
        <v>163</v>
      </c>
      <c r="C260" s="8" t="s">
        <v>133</v>
      </c>
      <c r="D260" s="8" t="s">
        <v>105</v>
      </c>
      <c r="E260" s="8">
        <v>5</v>
      </c>
      <c r="F260" s="9">
        <v>62.279899999999998</v>
      </c>
      <c r="G260" s="9">
        <v>59.603499999999997</v>
      </c>
      <c r="H260" s="9">
        <v>64.956400000000002</v>
      </c>
      <c r="I260" s="9">
        <v>1.9279999999999999</v>
      </c>
      <c r="J260" s="9">
        <v>5904.1688999999997</v>
      </c>
      <c r="K260" s="9">
        <v>5157.4853999999996</v>
      </c>
      <c r="L260" s="9">
        <v>6650.8525</v>
      </c>
      <c r="M260" s="9">
        <v>537.87019999999995</v>
      </c>
      <c r="N260" s="9">
        <v>76.760599999999997</v>
      </c>
      <c r="O260" s="9">
        <v>71.954999999999998</v>
      </c>
      <c r="P260" s="9">
        <v>81.566100000000006</v>
      </c>
      <c r="Q260" s="9">
        <v>3.4617</v>
      </c>
      <c r="R260" s="9">
        <v>81.8035</v>
      </c>
      <c r="S260" s="9">
        <v>65.933000000000007</v>
      </c>
      <c r="T260" s="9">
        <v>97.674000000000007</v>
      </c>
      <c r="U260" s="9">
        <v>11.4322</v>
      </c>
      <c r="V260" s="9">
        <v>-3.2000000000000001E-2</v>
      </c>
      <c r="W260" s="9">
        <v>-7.9899999999999999E-2</v>
      </c>
      <c r="X260" s="9">
        <v>1.6E-2</v>
      </c>
      <c r="Y260" s="9">
        <v>3.4500000000000003E-2</v>
      </c>
      <c r="Z260" s="9"/>
      <c r="AA260" s="9"/>
      <c r="AB260" s="9"/>
      <c r="AC260" s="9"/>
      <c r="AD260" s="8"/>
      <c r="AE260" s="8"/>
      <c r="AF260" s="8"/>
      <c r="AG260" s="8"/>
    </row>
    <row r="261" spans="1:33" x14ac:dyDescent="0.25">
      <c r="A261" s="8" t="s">
        <v>563</v>
      </c>
      <c r="B261" s="8" t="s">
        <v>163</v>
      </c>
      <c r="C261" s="8" t="s">
        <v>133</v>
      </c>
      <c r="D261" s="8" t="s">
        <v>104</v>
      </c>
      <c r="E261" s="8">
        <v>5</v>
      </c>
      <c r="F261" s="9">
        <v>12.2342</v>
      </c>
      <c r="G261" s="9">
        <v>9.2378999999999998</v>
      </c>
      <c r="H261" s="9">
        <v>15.230600000000001</v>
      </c>
      <c r="I261" s="9">
        <v>2.1583999999999999</v>
      </c>
      <c r="J261" s="9">
        <v>259.83120000000002</v>
      </c>
      <c r="K261" s="9">
        <v>108.87949999999999</v>
      </c>
      <c r="L261" s="9">
        <v>410.78300000000002</v>
      </c>
      <c r="M261" s="9">
        <v>108.73739999999999</v>
      </c>
      <c r="N261" s="9">
        <v>15.7506</v>
      </c>
      <c r="O261" s="9">
        <v>10.9924</v>
      </c>
      <c r="P261" s="9">
        <v>20.508900000000001</v>
      </c>
      <c r="Q261" s="9">
        <v>3.4276</v>
      </c>
      <c r="R261" s="9">
        <v>99.7453</v>
      </c>
      <c r="S261" s="9">
        <v>53.459299999999999</v>
      </c>
      <c r="T261" s="9">
        <v>146.03129999999999</v>
      </c>
      <c r="U261" s="9">
        <v>33.341900000000003</v>
      </c>
      <c r="V261" s="9">
        <v>-5.4100000000000002E-2</v>
      </c>
      <c r="W261" s="9">
        <v>-0.19170000000000001</v>
      </c>
      <c r="X261" s="9">
        <v>8.3400000000000002E-2</v>
      </c>
      <c r="Y261" s="9">
        <v>9.9099999999999994E-2</v>
      </c>
      <c r="Z261" s="9"/>
      <c r="AA261" s="9"/>
      <c r="AB261" s="9"/>
      <c r="AC261" s="9"/>
      <c r="AD261" s="8"/>
      <c r="AE261" s="8"/>
      <c r="AF261" s="8"/>
      <c r="AG261" s="8"/>
    </row>
    <row r="262" spans="1:33" x14ac:dyDescent="0.25">
      <c r="A262" s="8" t="s">
        <v>563</v>
      </c>
      <c r="B262" s="8" t="s">
        <v>163</v>
      </c>
      <c r="C262" s="8" t="s">
        <v>133</v>
      </c>
      <c r="D262" s="8" t="s">
        <v>103</v>
      </c>
      <c r="E262" s="8">
        <v>5</v>
      </c>
      <c r="F262" s="9">
        <v>3.7507999999999999</v>
      </c>
      <c r="G262" s="9">
        <v>2.0625</v>
      </c>
      <c r="H262" s="9">
        <v>5.4390999999999998</v>
      </c>
      <c r="I262" s="9">
        <v>1.2161999999999999</v>
      </c>
      <c r="J262" s="9">
        <v>45.188299999999998</v>
      </c>
      <c r="K262" s="9">
        <v>0.90920000000000001</v>
      </c>
      <c r="L262" s="9">
        <v>89.467500000000001</v>
      </c>
      <c r="M262" s="9">
        <v>31.8963</v>
      </c>
      <c r="N262" s="9">
        <v>6.2043999999999997</v>
      </c>
      <c r="O262" s="9">
        <v>2.6128999999999998</v>
      </c>
      <c r="P262" s="9">
        <v>9.7959999999999994</v>
      </c>
      <c r="Q262" s="9">
        <v>2.5872000000000002</v>
      </c>
      <c r="R262" s="9">
        <v>96.022800000000004</v>
      </c>
      <c r="S262" s="9">
        <v>68.920900000000003</v>
      </c>
      <c r="T262" s="9">
        <v>123.1247</v>
      </c>
      <c r="U262" s="9">
        <v>19.5227</v>
      </c>
      <c r="V262" s="9">
        <v>-6.6199999999999995E-2</v>
      </c>
      <c r="W262" s="9">
        <v>-0.1358</v>
      </c>
      <c r="X262" s="9">
        <v>3.3999999999999998E-3</v>
      </c>
      <c r="Y262" s="9">
        <v>5.0099999999999999E-2</v>
      </c>
      <c r="Z262" s="9"/>
      <c r="AA262" s="9"/>
      <c r="AB262" s="9"/>
      <c r="AC262" s="9"/>
      <c r="AD262" s="8"/>
      <c r="AE262" s="8"/>
      <c r="AF262" s="8"/>
      <c r="AG262" s="8"/>
    </row>
    <row r="263" spans="1:33" x14ac:dyDescent="0.25">
      <c r="A263" s="8" t="s">
        <v>563</v>
      </c>
      <c r="B263" s="8" t="s">
        <v>163</v>
      </c>
      <c r="C263" s="8" t="s">
        <v>133</v>
      </c>
      <c r="D263" s="8" t="s">
        <v>106</v>
      </c>
      <c r="E263" s="8">
        <v>5</v>
      </c>
      <c r="F263" s="9">
        <v>0.34239999999999998</v>
      </c>
      <c r="G263" s="9">
        <v>0.29770000000000002</v>
      </c>
      <c r="H263" s="9">
        <v>0.3871</v>
      </c>
      <c r="I263" s="9">
        <v>3.2199999999999999E-2</v>
      </c>
      <c r="J263" s="9">
        <v>0.156</v>
      </c>
      <c r="K263" s="9">
        <v>0.121</v>
      </c>
      <c r="L263" s="9">
        <v>0.19109999999999999</v>
      </c>
      <c r="M263" s="9">
        <v>2.52E-2</v>
      </c>
      <c r="N263" s="9">
        <v>0.39379999999999998</v>
      </c>
      <c r="O263" s="9">
        <v>0.35070000000000001</v>
      </c>
      <c r="P263" s="9">
        <v>0.437</v>
      </c>
      <c r="Q263" s="9">
        <v>3.1099999999999999E-2</v>
      </c>
      <c r="R263" s="9">
        <v>89.995800000000003</v>
      </c>
      <c r="S263" s="9">
        <v>58.135199999999998</v>
      </c>
      <c r="T263" s="9">
        <v>121.8563</v>
      </c>
      <c r="U263" s="9">
        <v>22.950600000000001</v>
      </c>
      <c r="V263" s="9">
        <v>-0.19539999999999999</v>
      </c>
      <c r="W263" s="9">
        <v>-0.59199999999999997</v>
      </c>
      <c r="X263" s="9">
        <v>0.2011</v>
      </c>
      <c r="Y263" s="9">
        <v>0.28570000000000001</v>
      </c>
      <c r="Z263" s="9"/>
      <c r="AA263" s="9"/>
      <c r="AB263" s="9"/>
      <c r="AC263" s="9"/>
      <c r="AD263" s="8"/>
      <c r="AE263" s="8"/>
      <c r="AF263" s="8"/>
      <c r="AG263" s="8"/>
    </row>
    <row r="264" spans="1:33" x14ac:dyDescent="0.25">
      <c r="A264" s="8" t="s">
        <v>563</v>
      </c>
      <c r="B264" s="8" t="s">
        <v>163</v>
      </c>
      <c r="C264" s="8" t="s">
        <v>133</v>
      </c>
      <c r="D264" s="8" t="s">
        <v>99</v>
      </c>
      <c r="E264" s="8">
        <v>5</v>
      </c>
      <c r="F264" s="9">
        <v>0.95509999999999995</v>
      </c>
      <c r="G264" s="9">
        <v>0.82469999999999999</v>
      </c>
      <c r="H264" s="9">
        <v>1.0855999999999999</v>
      </c>
      <c r="I264" s="9">
        <v>9.4E-2</v>
      </c>
      <c r="J264" s="9">
        <v>1.4515</v>
      </c>
      <c r="K264" s="9">
        <v>0.92049999999999998</v>
      </c>
      <c r="L264" s="9">
        <v>1.9825999999999999</v>
      </c>
      <c r="M264" s="9">
        <v>0.3826</v>
      </c>
      <c r="N264" s="9">
        <v>1.1942999999999999</v>
      </c>
      <c r="O264" s="9">
        <v>0.97409999999999997</v>
      </c>
      <c r="P264" s="9">
        <v>1.4144000000000001</v>
      </c>
      <c r="Q264" s="9">
        <v>0.15859999999999999</v>
      </c>
      <c r="R264" s="9">
        <v>35.35</v>
      </c>
      <c r="S264" s="9">
        <v>24.049600000000002</v>
      </c>
      <c r="T264" s="9">
        <v>46.650399999999998</v>
      </c>
      <c r="U264" s="9">
        <v>8.1402000000000001</v>
      </c>
      <c r="V264" s="9">
        <v>-2.3800000000000002E-2</v>
      </c>
      <c r="W264" s="9">
        <v>-6.1600000000000002E-2</v>
      </c>
      <c r="X264" s="9">
        <v>1.41E-2</v>
      </c>
      <c r="Y264" s="9">
        <v>2.7300000000000001E-2</v>
      </c>
      <c r="Z264" s="9"/>
      <c r="AA264" s="9"/>
      <c r="AB264" s="9"/>
      <c r="AC264" s="9"/>
      <c r="AD264" s="8"/>
      <c r="AE264" s="8"/>
      <c r="AF264" s="8"/>
      <c r="AG264" s="8"/>
    </row>
    <row r="265" spans="1:33" x14ac:dyDescent="0.25">
      <c r="A265" s="8" t="s">
        <v>563</v>
      </c>
      <c r="B265" s="8" t="s">
        <v>163</v>
      </c>
      <c r="C265" s="8" t="s">
        <v>134</v>
      </c>
      <c r="D265" s="8" t="s">
        <v>101</v>
      </c>
      <c r="E265" s="8">
        <v>5</v>
      </c>
      <c r="F265" s="9">
        <v>62.588200000000001</v>
      </c>
      <c r="G265" s="9">
        <v>45.078099999999999</v>
      </c>
      <c r="H265" s="9">
        <v>80.098299999999995</v>
      </c>
      <c r="I265" s="9">
        <v>12.613300000000001</v>
      </c>
      <c r="J265" s="9">
        <v>7121.3188</v>
      </c>
      <c r="K265" s="9">
        <v>3414.3350999999998</v>
      </c>
      <c r="L265" s="9">
        <v>10828.3025</v>
      </c>
      <c r="M265" s="9">
        <v>2670.3094000000001</v>
      </c>
      <c r="N265" s="9">
        <v>82.833100000000002</v>
      </c>
      <c r="O265" s="9">
        <v>60.448500000000003</v>
      </c>
      <c r="P265" s="9">
        <v>105.2176</v>
      </c>
      <c r="Q265" s="9">
        <v>16.124600000000001</v>
      </c>
      <c r="R265" s="9">
        <v>32.621600000000001</v>
      </c>
      <c r="S265" s="9">
        <v>15.3142</v>
      </c>
      <c r="T265" s="9">
        <v>49.929099999999998</v>
      </c>
      <c r="U265" s="9">
        <v>12.4674</v>
      </c>
      <c r="V265" s="9">
        <v>-5.6800000000000003E-2</v>
      </c>
      <c r="W265" s="9">
        <v>-0.14460000000000001</v>
      </c>
      <c r="X265" s="9">
        <v>3.1E-2</v>
      </c>
      <c r="Y265" s="9">
        <v>6.3200000000000006E-2</v>
      </c>
      <c r="Z265" s="9"/>
      <c r="AA265" s="9"/>
      <c r="AB265" s="9"/>
      <c r="AC265" s="9"/>
      <c r="AD265" s="8"/>
      <c r="AE265" s="8"/>
      <c r="AF265" s="8"/>
      <c r="AG265" s="8"/>
    </row>
    <row r="266" spans="1:33" x14ac:dyDescent="0.25">
      <c r="A266" s="8" t="s">
        <v>563</v>
      </c>
      <c r="B266" s="8" t="s">
        <v>163</v>
      </c>
      <c r="C266" s="8" t="s">
        <v>134</v>
      </c>
      <c r="D266" s="8" t="s">
        <v>100</v>
      </c>
      <c r="E266" s="8">
        <v>5</v>
      </c>
      <c r="F266" s="9">
        <v>7.8781999999999996</v>
      </c>
      <c r="G266" s="9">
        <v>4.0917000000000003</v>
      </c>
      <c r="H266" s="9">
        <v>11.6647</v>
      </c>
      <c r="I266" s="9">
        <v>2.7275999999999998</v>
      </c>
      <c r="J266" s="9">
        <v>399.58539999999999</v>
      </c>
      <c r="K266" s="9">
        <v>-535.53959999999995</v>
      </c>
      <c r="L266" s="9">
        <v>1334.7103</v>
      </c>
      <c r="M266" s="9">
        <v>673.61320000000001</v>
      </c>
      <c r="N266" s="9">
        <v>14.6839</v>
      </c>
      <c r="O266" s="9">
        <v>-4.1452999999999998</v>
      </c>
      <c r="P266" s="9">
        <v>33.513100000000001</v>
      </c>
      <c r="Q266" s="9">
        <v>13.563499999999999</v>
      </c>
      <c r="R266" s="9">
        <v>62.0002</v>
      </c>
      <c r="S266" s="9">
        <v>51.0443</v>
      </c>
      <c r="T266" s="9">
        <v>72.956199999999995</v>
      </c>
      <c r="U266" s="9">
        <v>7.8920000000000003</v>
      </c>
      <c r="V266" s="9">
        <v>-2.1899999999999999E-2</v>
      </c>
      <c r="W266" s="9">
        <v>-4.8599999999999997E-2</v>
      </c>
      <c r="X266" s="9">
        <v>4.7999999999999996E-3</v>
      </c>
      <c r="Y266" s="9">
        <v>1.9300000000000001E-2</v>
      </c>
      <c r="Z266" s="9"/>
      <c r="AA266" s="9"/>
      <c r="AB266" s="9"/>
      <c r="AC266" s="9"/>
      <c r="AD266" s="8"/>
      <c r="AE266" s="8"/>
      <c r="AF266" s="8"/>
      <c r="AG266" s="8"/>
    </row>
    <row r="267" spans="1:33" x14ac:dyDescent="0.25">
      <c r="A267" s="8" t="s">
        <v>563</v>
      </c>
      <c r="B267" s="8" t="s">
        <v>163</v>
      </c>
      <c r="C267" s="8" t="s">
        <v>134</v>
      </c>
      <c r="D267" s="8" t="s">
        <v>102</v>
      </c>
      <c r="E267" s="8">
        <v>5</v>
      </c>
      <c r="F267" s="9">
        <v>1.0800000000000001E-2</v>
      </c>
      <c r="G267" s="9">
        <v>9.7999999999999997E-3</v>
      </c>
      <c r="H267" s="9">
        <v>1.18E-2</v>
      </c>
      <c r="I267" s="9">
        <v>6.9999999999999999E-4</v>
      </c>
      <c r="J267" s="9">
        <v>2.0000000000000001E-4</v>
      </c>
      <c r="K267" s="9">
        <v>2.0000000000000001E-4</v>
      </c>
      <c r="L267" s="9">
        <v>2.9999999999999997E-4</v>
      </c>
      <c r="M267" s="9">
        <v>0</v>
      </c>
      <c r="N267" s="9">
        <v>1.43E-2</v>
      </c>
      <c r="O267" s="9">
        <v>1.24E-2</v>
      </c>
      <c r="P267" s="9">
        <v>1.6199999999999999E-2</v>
      </c>
      <c r="Q267" s="9">
        <v>1.4E-3</v>
      </c>
      <c r="R267" s="9">
        <v>36.347000000000001</v>
      </c>
      <c r="S267" s="9">
        <v>18.249400000000001</v>
      </c>
      <c r="T267" s="9">
        <v>54.444600000000001</v>
      </c>
      <c r="U267" s="9">
        <v>13.0365</v>
      </c>
      <c r="V267" s="9">
        <v>-3.95E-2</v>
      </c>
      <c r="W267" s="9">
        <v>-0.1099</v>
      </c>
      <c r="X267" s="9">
        <v>3.09E-2</v>
      </c>
      <c r="Y267" s="9">
        <v>5.0700000000000002E-2</v>
      </c>
      <c r="Z267" s="9"/>
      <c r="AA267" s="9"/>
      <c r="AB267" s="9"/>
      <c r="AC267" s="9"/>
      <c r="AD267" s="8"/>
      <c r="AE267" s="8"/>
      <c r="AF267" s="8"/>
      <c r="AG267" s="8"/>
    </row>
    <row r="268" spans="1:33" x14ac:dyDescent="0.25">
      <c r="A268" s="8" t="s">
        <v>563</v>
      </c>
      <c r="B268" s="8" t="s">
        <v>163</v>
      </c>
      <c r="C268" s="8" t="s">
        <v>134</v>
      </c>
      <c r="D268" s="8" t="s">
        <v>105</v>
      </c>
      <c r="E268" s="8">
        <v>5</v>
      </c>
      <c r="F268" s="9">
        <v>59.451599999999999</v>
      </c>
      <c r="G268" s="9">
        <v>55.290999999999997</v>
      </c>
      <c r="H268" s="9">
        <v>63.612299999999998</v>
      </c>
      <c r="I268" s="9">
        <v>2.9971000000000001</v>
      </c>
      <c r="J268" s="9">
        <v>5947.1902</v>
      </c>
      <c r="K268" s="9">
        <v>4818.3154000000004</v>
      </c>
      <c r="L268" s="9">
        <v>7076.0650999999998</v>
      </c>
      <c r="M268" s="9">
        <v>813.18</v>
      </c>
      <c r="N268" s="9">
        <v>76.936599999999999</v>
      </c>
      <c r="O268" s="9">
        <v>69.596900000000005</v>
      </c>
      <c r="P268" s="9">
        <v>84.276200000000003</v>
      </c>
      <c r="Q268" s="9">
        <v>5.2870999999999997</v>
      </c>
      <c r="R268" s="9">
        <v>66.993700000000004</v>
      </c>
      <c r="S268" s="9">
        <v>54.266199999999998</v>
      </c>
      <c r="T268" s="9">
        <v>79.721299999999999</v>
      </c>
      <c r="U268" s="9">
        <v>9.1682000000000006</v>
      </c>
      <c r="V268" s="9">
        <v>-3.3799999999999997E-2</v>
      </c>
      <c r="W268" s="9">
        <v>-7.6100000000000001E-2</v>
      </c>
      <c r="X268" s="9">
        <v>8.6E-3</v>
      </c>
      <c r="Y268" s="9">
        <v>3.0499999999999999E-2</v>
      </c>
      <c r="Z268" s="9"/>
      <c r="AA268" s="9"/>
      <c r="AB268" s="9"/>
      <c r="AC268" s="9"/>
      <c r="AD268" s="8"/>
      <c r="AE268" s="8"/>
      <c r="AF268" s="8"/>
      <c r="AG268" s="8"/>
    </row>
    <row r="269" spans="1:33" x14ac:dyDescent="0.25">
      <c r="A269" s="8" t="s">
        <v>563</v>
      </c>
      <c r="B269" s="8" t="s">
        <v>163</v>
      </c>
      <c r="C269" s="8" t="s">
        <v>134</v>
      </c>
      <c r="D269" s="8" t="s">
        <v>104</v>
      </c>
      <c r="E269" s="8">
        <v>5</v>
      </c>
      <c r="F269" s="9">
        <v>11.242000000000001</v>
      </c>
      <c r="G269" s="9">
        <v>8.5643999999999991</v>
      </c>
      <c r="H269" s="9">
        <v>13.919499999999999</v>
      </c>
      <c r="I269" s="9">
        <v>1.9287000000000001</v>
      </c>
      <c r="J269" s="9">
        <v>277.05689999999998</v>
      </c>
      <c r="K269" s="9">
        <v>104.7388</v>
      </c>
      <c r="L269" s="9">
        <v>449.375</v>
      </c>
      <c r="M269" s="9">
        <v>124.12860000000001</v>
      </c>
      <c r="N269" s="9">
        <v>16.166799999999999</v>
      </c>
      <c r="O269" s="9">
        <v>10.6676</v>
      </c>
      <c r="P269" s="9">
        <v>21.666</v>
      </c>
      <c r="Q269" s="9">
        <v>3.9613</v>
      </c>
      <c r="R269" s="9">
        <v>71.685699999999997</v>
      </c>
      <c r="S269" s="9">
        <v>39.301499999999997</v>
      </c>
      <c r="T269" s="9">
        <v>104.07</v>
      </c>
      <c r="U269" s="9">
        <v>23.3279</v>
      </c>
      <c r="V269" s="9">
        <v>-8.7499999999999994E-2</v>
      </c>
      <c r="W269" s="9">
        <v>-0.17069999999999999</v>
      </c>
      <c r="X269" s="9">
        <v>-4.3E-3</v>
      </c>
      <c r="Y269" s="9">
        <v>5.9900000000000002E-2</v>
      </c>
      <c r="Z269" s="9"/>
      <c r="AA269" s="9"/>
      <c r="AB269" s="9"/>
      <c r="AC269" s="9"/>
      <c r="AD269" s="8"/>
      <c r="AE269" s="8"/>
      <c r="AF269" s="8"/>
      <c r="AG269" s="8"/>
    </row>
    <row r="270" spans="1:33" x14ac:dyDescent="0.25">
      <c r="A270" s="8" t="s">
        <v>563</v>
      </c>
      <c r="B270" s="8" t="s">
        <v>163</v>
      </c>
      <c r="C270" s="8" t="s">
        <v>134</v>
      </c>
      <c r="D270" s="8" t="s">
        <v>103</v>
      </c>
      <c r="E270" s="8">
        <v>5</v>
      </c>
      <c r="F270" s="9">
        <v>3.4251</v>
      </c>
      <c r="G270" s="9">
        <v>1.7304999999999999</v>
      </c>
      <c r="H270" s="9">
        <v>5.1197999999999997</v>
      </c>
      <c r="I270" s="9">
        <v>1.2206999999999999</v>
      </c>
      <c r="J270" s="9">
        <v>49.771900000000002</v>
      </c>
      <c r="K270" s="9">
        <v>0.1502</v>
      </c>
      <c r="L270" s="9">
        <v>99.393600000000006</v>
      </c>
      <c r="M270" s="9">
        <v>35.744799999999998</v>
      </c>
      <c r="N270" s="9">
        <v>6.5022000000000002</v>
      </c>
      <c r="O270" s="9">
        <v>2.7021999999999999</v>
      </c>
      <c r="P270" s="9">
        <v>10.302199999999999</v>
      </c>
      <c r="Q270" s="9">
        <v>2.7372999999999998</v>
      </c>
      <c r="R270" s="9">
        <v>54.845399999999998</v>
      </c>
      <c r="S270" s="9">
        <v>40.193300000000001</v>
      </c>
      <c r="T270" s="9">
        <v>69.497399999999999</v>
      </c>
      <c r="U270" s="9">
        <v>10.554500000000001</v>
      </c>
      <c r="V270" s="9">
        <v>-0.17369999999999999</v>
      </c>
      <c r="W270" s="9">
        <v>-0.29430000000000001</v>
      </c>
      <c r="X270" s="9">
        <v>-5.3100000000000001E-2</v>
      </c>
      <c r="Y270" s="9">
        <v>8.6900000000000005E-2</v>
      </c>
      <c r="Z270" s="9"/>
      <c r="AA270" s="9"/>
      <c r="AB270" s="9"/>
      <c r="AC270" s="9"/>
      <c r="AD270" s="8"/>
      <c r="AE270" s="8"/>
      <c r="AF270" s="8"/>
      <c r="AG270" s="8"/>
    </row>
    <row r="271" spans="1:33" x14ac:dyDescent="0.25">
      <c r="A271" s="8" t="s">
        <v>563</v>
      </c>
      <c r="B271" s="8" t="s">
        <v>163</v>
      </c>
      <c r="C271" s="8" t="s">
        <v>134</v>
      </c>
      <c r="D271" s="8" t="s">
        <v>106</v>
      </c>
      <c r="E271" s="8">
        <v>5</v>
      </c>
      <c r="F271" s="9">
        <v>0.29470000000000002</v>
      </c>
      <c r="G271" s="9">
        <v>0.21859999999999999</v>
      </c>
      <c r="H271" s="9">
        <v>0.37080000000000002</v>
      </c>
      <c r="I271" s="9">
        <v>5.4800000000000001E-2</v>
      </c>
      <c r="J271" s="9">
        <v>0.15570000000000001</v>
      </c>
      <c r="K271" s="9">
        <v>7.7100000000000002E-2</v>
      </c>
      <c r="L271" s="9">
        <v>0.23430000000000001</v>
      </c>
      <c r="M271" s="9">
        <v>5.6599999999999998E-2</v>
      </c>
      <c r="N271" s="9">
        <v>0.3886</v>
      </c>
      <c r="O271" s="9">
        <v>0.29330000000000001</v>
      </c>
      <c r="P271" s="9">
        <v>0.4839</v>
      </c>
      <c r="Q271" s="9">
        <v>6.8699999999999997E-2</v>
      </c>
      <c r="R271" s="9">
        <v>58.475200000000001</v>
      </c>
      <c r="S271" s="9">
        <v>41.057699999999997</v>
      </c>
      <c r="T271" s="9">
        <v>75.892600000000002</v>
      </c>
      <c r="U271" s="9">
        <v>12.5466</v>
      </c>
      <c r="V271" s="9">
        <v>-0.1145</v>
      </c>
      <c r="W271" s="9">
        <v>-0.26469999999999999</v>
      </c>
      <c r="X271" s="9">
        <v>3.5799999999999998E-2</v>
      </c>
      <c r="Y271" s="9">
        <v>0.1082</v>
      </c>
      <c r="Z271" s="9"/>
      <c r="AA271" s="9"/>
      <c r="AB271" s="9"/>
      <c r="AC271" s="9"/>
      <c r="AD271" s="8"/>
      <c r="AE271" s="8"/>
      <c r="AF271" s="8"/>
      <c r="AG271" s="8"/>
    </row>
    <row r="272" spans="1:33" x14ac:dyDescent="0.25">
      <c r="A272" s="8" t="s">
        <v>563</v>
      </c>
      <c r="B272" s="8" t="s">
        <v>163</v>
      </c>
      <c r="C272" s="8" t="s">
        <v>134</v>
      </c>
      <c r="D272" s="8" t="s">
        <v>99</v>
      </c>
      <c r="E272" s="8">
        <v>5</v>
      </c>
      <c r="F272" s="9">
        <v>0.92610000000000003</v>
      </c>
      <c r="G272" s="9">
        <v>0.77669999999999995</v>
      </c>
      <c r="H272" s="9">
        <v>1.0754999999999999</v>
      </c>
      <c r="I272" s="9">
        <v>0.1076</v>
      </c>
      <c r="J272" s="9">
        <v>1.4314</v>
      </c>
      <c r="K272" s="9">
        <v>0.90969999999999995</v>
      </c>
      <c r="L272" s="9">
        <v>1.9532</v>
      </c>
      <c r="M272" s="9">
        <v>0.37580000000000002</v>
      </c>
      <c r="N272" s="9">
        <v>1.1859</v>
      </c>
      <c r="O272" s="9">
        <v>0.96619999999999995</v>
      </c>
      <c r="P272" s="9">
        <v>1.4056</v>
      </c>
      <c r="Q272" s="9">
        <v>0.1583</v>
      </c>
      <c r="R272" s="9">
        <v>32.773200000000003</v>
      </c>
      <c r="S272" s="9">
        <v>21.752400000000002</v>
      </c>
      <c r="T272" s="9">
        <v>43.793999999999997</v>
      </c>
      <c r="U272" s="9">
        <v>7.9387999999999996</v>
      </c>
      <c r="V272" s="9">
        <v>-8.6999999999999994E-3</v>
      </c>
      <c r="W272" s="9">
        <v>-1.5299999999999999E-2</v>
      </c>
      <c r="X272" s="9">
        <v>-2.2000000000000001E-3</v>
      </c>
      <c r="Y272" s="9">
        <v>4.7000000000000002E-3</v>
      </c>
      <c r="Z272" s="9"/>
      <c r="AA272" s="9"/>
      <c r="AB272" s="9"/>
      <c r="AC272" s="9"/>
      <c r="AD272" s="8"/>
      <c r="AE272" s="8"/>
      <c r="AF272" s="8"/>
      <c r="AG272" s="8"/>
    </row>
    <row r="273" spans="1:33" x14ac:dyDescent="0.25">
      <c r="A273" s="8" t="s">
        <v>563</v>
      </c>
      <c r="B273" s="8" t="s">
        <v>163</v>
      </c>
      <c r="C273" s="8" t="s">
        <v>124</v>
      </c>
      <c r="D273" s="8" t="s">
        <v>101</v>
      </c>
      <c r="E273" s="8">
        <v>5</v>
      </c>
      <c r="F273" s="9">
        <v>45.905200000000001</v>
      </c>
      <c r="G273" s="9">
        <v>33.478099999999998</v>
      </c>
      <c r="H273" s="9">
        <v>58.332299999999996</v>
      </c>
      <c r="I273" s="9">
        <v>8.9518000000000004</v>
      </c>
      <c r="J273" s="9">
        <v>3946.9757</v>
      </c>
      <c r="K273" s="9">
        <v>1722.4757999999999</v>
      </c>
      <c r="L273" s="9">
        <v>6171.4757</v>
      </c>
      <c r="M273" s="9">
        <v>1602.4087</v>
      </c>
      <c r="N273" s="9">
        <v>61.200899999999997</v>
      </c>
      <c r="O273" s="9">
        <v>41.498399999999997</v>
      </c>
      <c r="P273" s="9">
        <v>80.903300000000002</v>
      </c>
      <c r="Q273" s="9">
        <v>14.192600000000001</v>
      </c>
      <c r="R273" s="9">
        <v>22.1342</v>
      </c>
      <c r="S273" s="9">
        <v>13.651199999999999</v>
      </c>
      <c r="T273" s="9">
        <v>30.617100000000001</v>
      </c>
      <c r="U273" s="9">
        <v>6.1106999999999996</v>
      </c>
      <c r="V273" s="9">
        <v>0.43099999999999999</v>
      </c>
      <c r="W273" s="9">
        <v>0.30370000000000003</v>
      </c>
      <c r="X273" s="9">
        <v>0.55820000000000003</v>
      </c>
      <c r="Y273" s="9">
        <v>9.1700000000000004E-2</v>
      </c>
      <c r="Z273" s="9"/>
      <c r="AA273" s="9"/>
      <c r="AB273" s="9"/>
      <c r="AC273" s="9"/>
      <c r="AD273" s="8"/>
      <c r="AE273" s="8"/>
      <c r="AF273" s="8"/>
      <c r="AG273" s="8"/>
    </row>
    <row r="274" spans="1:33" x14ac:dyDescent="0.25">
      <c r="A274" s="8" t="s">
        <v>563</v>
      </c>
      <c r="B274" s="8" t="s">
        <v>163</v>
      </c>
      <c r="C274" s="8" t="s">
        <v>124</v>
      </c>
      <c r="D274" s="8" t="s">
        <v>100</v>
      </c>
      <c r="E274" s="8">
        <v>5</v>
      </c>
      <c r="F274" s="9">
        <v>5.0556000000000001</v>
      </c>
      <c r="G274" s="9">
        <v>1.3809</v>
      </c>
      <c r="H274" s="9">
        <v>8.7302</v>
      </c>
      <c r="I274" s="9">
        <v>2.6469999999999998</v>
      </c>
      <c r="J274" s="9">
        <v>331.99770000000001</v>
      </c>
      <c r="K274" s="9">
        <v>-510.77350000000001</v>
      </c>
      <c r="L274" s="9">
        <v>1174.7689</v>
      </c>
      <c r="M274" s="9">
        <v>607.0865</v>
      </c>
      <c r="N274" s="9">
        <v>12.0997</v>
      </c>
      <c r="O274" s="9">
        <v>-6.8125</v>
      </c>
      <c r="P274" s="9">
        <v>31.011900000000001</v>
      </c>
      <c r="Q274" s="9">
        <v>13.6233</v>
      </c>
      <c r="R274" s="9">
        <v>26.704699999999999</v>
      </c>
      <c r="S274" s="9">
        <v>19.8462</v>
      </c>
      <c r="T274" s="9">
        <v>33.563099999999999</v>
      </c>
      <c r="U274" s="9">
        <v>4.9404000000000003</v>
      </c>
      <c r="V274" s="9">
        <v>0.44590000000000002</v>
      </c>
      <c r="W274" s="9">
        <v>0.1588</v>
      </c>
      <c r="X274" s="9">
        <v>0.7329</v>
      </c>
      <c r="Y274" s="9">
        <v>0.20669999999999999</v>
      </c>
      <c r="Z274" s="9"/>
      <c r="AA274" s="9"/>
      <c r="AB274" s="9"/>
      <c r="AC274" s="9"/>
      <c r="AD274" s="8"/>
      <c r="AE274" s="8"/>
      <c r="AF274" s="8"/>
      <c r="AG274" s="8"/>
    </row>
    <row r="275" spans="1:33" x14ac:dyDescent="0.25">
      <c r="A275" s="8" t="s">
        <v>563</v>
      </c>
      <c r="B275" s="8" t="s">
        <v>163</v>
      </c>
      <c r="C275" s="8" t="s">
        <v>124</v>
      </c>
      <c r="D275" s="8" t="s">
        <v>102</v>
      </c>
      <c r="E275" s="8">
        <v>5</v>
      </c>
      <c r="F275" s="9">
        <v>9.1999999999999998E-3</v>
      </c>
      <c r="G275" s="9">
        <v>8.5000000000000006E-3</v>
      </c>
      <c r="H275" s="9">
        <v>9.9000000000000008E-3</v>
      </c>
      <c r="I275" s="9">
        <v>5.0000000000000001E-4</v>
      </c>
      <c r="J275" s="9">
        <v>2.0000000000000001E-4</v>
      </c>
      <c r="K275" s="9">
        <v>1E-4</v>
      </c>
      <c r="L275" s="9">
        <v>2.0000000000000001E-4</v>
      </c>
      <c r="M275" s="9">
        <v>0</v>
      </c>
      <c r="N275" s="9">
        <v>1.3299999999999999E-2</v>
      </c>
      <c r="O275" s="9">
        <v>1.2E-2</v>
      </c>
      <c r="P275" s="9">
        <v>1.4500000000000001E-2</v>
      </c>
      <c r="Q275" s="9">
        <v>8.9999999999999998E-4</v>
      </c>
      <c r="R275" s="9">
        <v>33.275100000000002</v>
      </c>
      <c r="S275" s="9">
        <v>16.387</v>
      </c>
      <c r="T275" s="9">
        <v>50.163200000000003</v>
      </c>
      <c r="U275" s="9">
        <v>12.1653</v>
      </c>
      <c r="V275" s="9">
        <v>9.4700000000000006E-2</v>
      </c>
      <c r="W275" s="9">
        <v>-0.08</v>
      </c>
      <c r="X275" s="9">
        <v>0.26939999999999997</v>
      </c>
      <c r="Y275" s="9">
        <v>0.12590000000000001</v>
      </c>
      <c r="Z275" s="9"/>
      <c r="AA275" s="9"/>
      <c r="AB275" s="9"/>
      <c r="AC275" s="9"/>
      <c r="AD275" s="8"/>
      <c r="AE275" s="8"/>
      <c r="AF275" s="8"/>
      <c r="AG275" s="8"/>
    </row>
    <row r="276" spans="1:33" x14ac:dyDescent="0.25">
      <c r="A276" s="8" t="s">
        <v>563</v>
      </c>
      <c r="B276" s="8" t="s">
        <v>163</v>
      </c>
      <c r="C276" s="8" t="s">
        <v>124</v>
      </c>
      <c r="D276" s="8" t="s">
        <v>105</v>
      </c>
      <c r="E276" s="8">
        <v>5</v>
      </c>
      <c r="F276" s="9">
        <v>51.168199999999999</v>
      </c>
      <c r="G276" s="9">
        <v>38.112699999999997</v>
      </c>
      <c r="H276" s="9">
        <v>64.223699999999994</v>
      </c>
      <c r="I276" s="9">
        <v>9.4045000000000005</v>
      </c>
      <c r="J276" s="9">
        <v>4385.5352000000003</v>
      </c>
      <c r="K276" s="9">
        <v>2271.3901999999998</v>
      </c>
      <c r="L276" s="9">
        <v>6499.6801999999998</v>
      </c>
      <c r="M276" s="9">
        <v>1522.915</v>
      </c>
      <c r="N276" s="9">
        <v>65.346000000000004</v>
      </c>
      <c r="O276" s="9">
        <v>50.430900000000001</v>
      </c>
      <c r="P276" s="9">
        <v>80.261099999999999</v>
      </c>
      <c r="Q276" s="9">
        <v>10.744</v>
      </c>
      <c r="R276" s="9">
        <v>52.8157</v>
      </c>
      <c r="S276" s="9">
        <v>39.623100000000001</v>
      </c>
      <c r="T276" s="9">
        <v>66.008300000000006</v>
      </c>
      <c r="U276" s="9">
        <v>9.5031999999999996</v>
      </c>
      <c r="V276" s="9">
        <v>0.23799999999999999</v>
      </c>
      <c r="W276" s="9">
        <v>-8.4099999999999994E-2</v>
      </c>
      <c r="X276" s="9">
        <v>0.56010000000000004</v>
      </c>
      <c r="Y276" s="9">
        <v>0.23200000000000001</v>
      </c>
      <c r="Z276" s="9"/>
      <c r="AA276" s="9"/>
      <c r="AB276" s="9"/>
      <c r="AC276" s="9"/>
      <c r="AD276" s="8"/>
      <c r="AE276" s="8"/>
      <c r="AF276" s="8"/>
      <c r="AG276" s="8"/>
    </row>
    <row r="277" spans="1:33" x14ac:dyDescent="0.25">
      <c r="A277" s="8" t="s">
        <v>563</v>
      </c>
      <c r="B277" s="8" t="s">
        <v>163</v>
      </c>
      <c r="C277" s="8" t="s">
        <v>124</v>
      </c>
      <c r="D277" s="8" t="s">
        <v>104</v>
      </c>
      <c r="E277" s="8">
        <v>5</v>
      </c>
      <c r="F277" s="9">
        <v>8.9356000000000009</v>
      </c>
      <c r="G277" s="9">
        <v>6.5148999999999999</v>
      </c>
      <c r="H277" s="9">
        <v>11.356199999999999</v>
      </c>
      <c r="I277" s="9">
        <v>1.7437</v>
      </c>
      <c r="J277" s="9">
        <v>196.57089999999999</v>
      </c>
      <c r="K277" s="9">
        <v>60.403700000000001</v>
      </c>
      <c r="L277" s="9">
        <v>332.73820000000001</v>
      </c>
      <c r="M277" s="9">
        <v>98.087500000000006</v>
      </c>
      <c r="N277" s="9">
        <v>13.554399999999999</v>
      </c>
      <c r="O277" s="9">
        <v>8.5780999999999992</v>
      </c>
      <c r="P277" s="9">
        <v>18.5307</v>
      </c>
      <c r="Q277" s="9">
        <v>3.5847000000000002</v>
      </c>
      <c r="R277" s="9">
        <v>52.245600000000003</v>
      </c>
      <c r="S277" s="9">
        <v>28.465499999999999</v>
      </c>
      <c r="T277" s="9">
        <v>76.025700000000001</v>
      </c>
      <c r="U277" s="9">
        <v>17.129899999999999</v>
      </c>
      <c r="V277" s="9">
        <v>0.23419999999999999</v>
      </c>
      <c r="W277" s="9">
        <v>0.1008</v>
      </c>
      <c r="X277" s="9">
        <v>0.36759999999999998</v>
      </c>
      <c r="Y277" s="9">
        <v>9.6100000000000005E-2</v>
      </c>
      <c r="Z277" s="9"/>
      <c r="AA277" s="9"/>
      <c r="AB277" s="9"/>
      <c r="AC277" s="9"/>
      <c r="AD277" s="8"/>
      <c r="AE277" s="8"/>
      <c r="AF277" s="8"/>
      <c r="AG277" s="8"/>
    </row>
    <row r="278" spans="1:33" x14ac:dyDescent="0.25">
      <c r="A278" s="8" t="s">
        <v>563</v>
      </c>
      <c r="B278" s="8" t="s">
        <v>163</v>
      </c>
      <c r="C278" s="8" t="s">
        <v>124</v>
      </c>
      <c r="D278" s="8" t="s">
        <v>103</v>
      </c>
      <c r="E278" s="8">
        <v>5</v>
      </c>
      <c r="F278" s="9">
        <v>2.9411</v>
      </c>
      <c r="G278" s="9">
        <v>1.2836000000000001</v>
      </c>
      <c r="H278" s="9">
        <v>4.5987</v>
      </c>
      <c r="I278" s="9">
        <v>1.194</v>
      </c>
      <c r="J278" s="9">
        <v>38.3626</v>
      </c>
      <c r="K278" s="9">
        <v>-11.2475</v>
      </c>
      <c r="L278" s="9">
        <v>87.9726</v>
      </c>
      <c r="M278" s="9">
        <v>35.736400000000003</v>
      </c>
      <c r="N278" s="9">
        <v>5.4092000000000002</v>
      </c>
      <c r="O278" s="9">
        <v>1.2204999999999999</v>
      </c>
      <c r="P278" s="9">
        <v>9.5977999999999994</v>
      </c>
      <c r="Q278" s="9">
        <v>3.0173000000000001</v>
      </c>
      <c r="R278" s="9">
        <v>53.395400000000002</v>
      </c>
      <c r="S278" s="9">
        <v>46.615499999999997</v>
      </c>
      <c r="T278" s="9">
        <v>60.1753</v>
      </c>
      <c r="U278" s="9">
        <v>4.8838999999999997</v>
      </c>
      <c r="V278" s="9">
        <v>0.21909999999999999</v>
      </c>
      <c r="W278" s="9">
        <v>-0.1729</v>
      </c>
      <c r="X278" s="9">
        <v>0.61109999999999998</v>
      </c>
      <c r="Y278" s="9">
        <v>0.28239999999999998</v>
      </c>
      <c r="Z278" s="9"/>
      <c r="AA278" s="9"/>
      <c r="AB278" s="9"/>
      <c r="AC278" s="9"/>
      <c r="AD278" s="8"/>
      <c r="AE278" s="8"/>
      <c r="AF278" s="8"/>
      <c r="AG278" s="8"/>
    </row>
    <row r="279" spans="1:33" x14ac:dyDescent="0.25">
      <c r="A279" s="8" t="s">
        <v>563</v>
      </c>
      <c r="B279" s="8" t="s">
        <v>163</v>
      </c>
      <c r="C279" s="8" t="s">
        <v>124</v>
      </c>
      <c r="D279" s="8" t="s">
        <v>106</v>
      </c>
      <c r="E279" s="8">
        <v>5</v>
      </c>
      <c r="F279" s="9">
        <v>0.26069999999999999</v>
      </c>
      <c r="G279" s="9">
        <v>0.2147</v>
      </c>
      <c r="H279" s="9">
        <v>0.30669999999999997</v>
      </c>
      <c r="I279" s="9">
        <v>3.3099999999999997E-2</v>
      </c>
      <c r="J279" s="9">
        <v>0.13039999999999999</v>
      </c>
      <c r="K279" s="9">
        <v>7.8600000000000003E-2</v>
      </c>
      <c r="L279" s="9">
        <v>0.1822</v>
      </c>
      <c r="M279" s="9">
        <v>3.73E-2</v>
      </c>
      <c r="N279" s="9">
        <v>0.35749999999999998</v>
      </c>
      <c r="O279" s="9">
        <v>0.28639999999999999</v>
      </c>
      <c r="P279" s="9">
        <v>0.42859999999999998</v>
      </c>
      <c r="Q279" s="9">
        <v>5.1200000000000002E-2</v>
      </c>
      <c r="R279" s="9">
        <v>56.321899999999999</v>
      </c>
      <c r="S279" s="9">
        <v>29.6845</v>
      </c>
      <c r="T279" s="9">
        <v>82.959299999999999</v>
      </c>
      <c r="U279" s="9">
        <v>19.188099999999999</v>
      </c>
      <c r="V279" s="9">
        <v>4.0399999999999998E-2</v>
      </c>
      <c r="W279" s="9">
        <v>-0.1706</v>
      </c>
      <c r="X279" s="9">
        <v>0.25140000000000001</v>
      </c>
      <c r="Y279" s="9">
        <v>0.152</v>
      </c>
      <c r="Z279" s="9"/>
      <c r="AA279" s="9"/>
      <c r="AB279" s="9"/>
      <c r="AC279" s="9"/>
      <c r="AD279" s="8"/>
      <c r="AE279" s="8"/>
      <c r="AF279" s="8"/>
      <c r="AG279" s="8"/>
    </row>
    <row r="280" spans="1:33" x14ac:dyDescent="0.25">
      <c r="A280" s="8" t="s">
        <v>563</v>
      </c>
      <c r="B280" s="8" t="s">
        <v>163</v>
      </c>
      <c r="C280" s="8" t="s">
        <v>124</v>
      </c>
      <c r="D280" s="8" t="s">
        <v>99</v>
      </c>
      <c r="E280" s="8">
        <v>5</v>
      </c>
      <c r="F280" s="9">
        <v>0.96440000000000003</v>
      </c>
      <c r="G280" s="9">
        <v>0.78269999999999995</v>
      </c>
      <c r="H280" s="9">
        <v>1.1459999999999999</v>
      </c>
      <c r="I280" s="9">
        <v>0.1308</v>
      </c>
      <c r="J280" s="9">
        <v>1.5006999999999999</v>
      </c>
      <c r="K280" s="9">
        <v>1.0085999999999999</v>
      </c>
      <c r="L280" s="9">
        <v>1.9928999999999999</v>
      </c>
      <c r="M280" s="9">
        <v>0.35449999999999998</v>
      </c>
      <c r="N280" s="9">
        <v>1.2161999999999999</v>
      </c>
      <c r="O280" s="9">
        <v>1.0128999999999999</v>
      </c>
      <c r="P280" s="9">
        <v>1.4196</v>
      </c>
      <c r="Q280" s="9">
        <v>0.14649999999999999</v>
      </c>
      <c r="R280" s="9">
        <v>34.098700000000001</v>
      </c>
      <c r="S280" s="9">
        <v>22.082999999999998</v>
      </c>
      <c r="T280" s="9">
        <v>46.114400000000003</v>
      </c>
      <c r="U280" s="9">
        <v>8.6555</v>
      </c>
      <c r="V280" s="9">
        <v>-6.6100000000000006E-2</v>
      </c>
      <c r="W280" s="9">
        <v>-0.14960000000000001</v>
      </c>
      <c r="X280" s="9">
        <v>1.7399999999999999E-2</v>
      </c>
      <c r="Y280" s="9">
        <v>6.0100000000000001E-2</v>
      </c>
      <c r="Z280" s="9"/>
      <c r="AA280" s="9"/>
      <c r="AB280" s="9"/>
      <c r="AC280" s="9"/>
      <c r="AD280" s="8"/>
      <c r="AE280" s="8"/>
      <c r="AF280" s="8"/>
      <c r="AG280" s="8"/>
    </row>
    <row r="281" spans="1:33" x14ac:dyDescent="0.25">
      <c r="A281" s="8" t="s">
        <v>563</v>
      </c>
      <c r="B281" s="8" t="s">
        <v>163</v>
      </c>
      <c r="C281" s="8" t="s">
        <v>253</v>
      </c>
      <c r="D281" s="8" t="s">
        <v>101</v>
      </c>
      <c r="E281" s="8">
        <v>5</v>
      </c>
      <c r="F281" s="9">
        <v>60.479900000000001</v>
      </c>
      <c r="G281" s="9">
        <v>50.725099999999998</v>
      </c>
      <c r="H281" s="9">
        <v>70.234800000000007</v>
      </c>
      <c r="I281" s="9">
        <v>7.0269000000000004</v>
      </c>
      <c r="J281" s="9">
        <v>8232.8505999999998</v>
      </c>
      <c r="K281" s="9">
        <v>5318.2242999999999</v>
      </c>
      <c r="L281" s="9">
        <v>11147.4769</v>
      </c>
      <c r="M281" s="9">
        <v>2099.5382</v>
      </c>
      <c r="N281" s="9">
        <v>90.029799999999994</v>
      </c>
      <c r="O281" s="9">
        <v>74.355699999999999</v>
      </c>
      <c r="P281" s="9">
        <v>105.70399999999999</v>
      </c>
      <c r="Q281" s="9">
        <v>11.290800000000001</v>
      </c>
      <c r="R281" s="9">
        <v>27.1355</v>
      </c>
      <c r="S281" s="9">
        <v>19.509799999999998</v>
      </c>
      <c r="T281" s="9">
        <v>34.761200000000002</v>
      </c>
      <c r="U281" s="9">
        <v>5.4931000000000001</v>
      </c>
      <c r="V281" s="9">
        <v>-0.33560000000000001</v>
      </c>
      <c r="W281" s="9">
        <v>-0.91300000000000003</v>
      </c>
      <c r="X281" s="9">
        <v>0.24179999999999999</v>
      </c>
      <c r="Y281" s="9">
        <v>0.41589999999999999</v>
      </c>
      <c r="Z281" s="9"/>
      <c r="AA281" s="9"/>
      <c r="AB281" s="9"/>
      <c r="AC281" s="9"/>
      <c r="AD281" s="8"/>
      <c r="AE281" s="8"/>
      <c r="AF281" s="8"/>
      <c r="AG281" s="8"/>
    </row>
    <row r="282" spans="1:33" x14ac:dyDescent="0.25">
      <c r="A282" s="8" t="s">
        <v>563</v>
      </c>
      <c r="B282" s="8" t="s">
        <v>163</v>
      </c>
      <c r="C282" s="8" t="s">
        <v>253</v>
      </c>
      <c r="D282" s="8" t="s">
        <v>100</v>
      </c>
      <c r="E282" s="8">
        <v>5</v>
      </c>
      <c r="F282" s="9">
        <v>6.6672000000000002</v>
      </c>
      <c r="G282" s="9">
        <v>2.9609000000000001</v>
      </c>
      <c r="H282" s="9">
        <v>10.3735</v>
      </c>
      <c r="I282" s="9">
        <v>2.6698</v>
      </c>
      <c r="J282" s="9">
        <v>358.10300000000001</v>
      </c>
      <c r="K282" s="9">
        <v>-422.64690000000002</v>
      </c>
      <c r="L282" s="9">
        <v>1138.8529000000001</v>
      </c>
      <c r="M282" s="9">
        <v>562.40970000000004</v>
      </c>
      <c r="N282" s="9">
        <v>14.4937</v>
      </c>
      <c r="O282" s="9">
        <v>-2.3967000000000001</v>
      </c>
      <c r="P282" s="9">
        <v>31.3842</v>
      </c>
      <c r="Q282" s="9">
        <v>12.167</v>
      </c>
      <c r="R282" s="9">
        <v>38.010300000000001</v>
      </c>
      <c r="S282" s="9">
        <v>28.4878</v>
      </c>
      <c r="T282" s="9">
        <v>47.532699999999998</v>
      </c>
      <c r="U282" s="9">
        <v>6.8594999999999997</v>
      </c>
      <c r="V282" s="9">
        <v>-0.19309999999999999</v>
      </c>
      <c r="W282" s="9">
        <v>-1.1537999999999999</v>
      </c>
      <c r="X282" s="9">
        <v>0.76749999999999996</v>
      </c>
      <c r="Y282" s="9">
        <v>0.69199999999999995</v>
      </c>
      <c r="Z282" s="9"/>
      <c r="AA282" s="9"/>
      <c r="AB282" s="9"/>
      <c r="AC282" s="9"/>
      <c r="AD282" s="8"/>
      <c r="AE282" s="8"/>
      <c r="AF282" s="8"/>
      <c r="AG282" s="8"/>
    </row>
    <row r="283" spans="1:33" x14ac:dyDescent="0.25">
      <c r="A283" s="8" t="s">
        <v>563</v>
      </c>
      <c r="B283" s="8" t="s">
        <v>163</v>
      </c>
      <c r="C283" s="8" t="s">
        <v>253</v>
      </c>
      <c r="D283" s="8" t="s">
        <v>102</v>
      </c>
      <c r="E283" s="8">
        <v>5</v>
      </c>
      <c r="F283" s="9">
        <v>1.15E-2</v>
      </c>
      <c r="G283" s="9">
        <v>9.4999999999999998E-3</v>
      </c>
      <c r="H283" s="9">
        <v>1.35E-2</v>
      </c>
      <c r="I283" s="9">
        <v>1.4E-3</v>
      </c>
      <c r="J283" s="9">
        <v>2.9999999999999997E-4</v>
      </c>
      <c r="K283" s="9">
        <v>2.0000000000000001E-4</v>
      </c>
      <c r="L283" s="9">
        <v>2.9999999999999997E-4</v>
      </c>
      <c r="M283" s="9">
        <v>0</v>
      </c>
      <c r="N283" s="9">
        <v>1.5900000000000001E-2</v>
      </c>
      <c r="O283" s="9">
        <v>1.3299999999999999E-2</v>
      </c>
      <c r="P283" s="9">
        <v>1.8599999999999998E-2</v>
      </c>
      <c r="Q283" s="9">
        <v>1.9E-3</v>
      </c>
      <c r="R283" s="9">
        <v>36.823900000000002</v>
      </c>
      <c r="S283" s="9">
        <v>22.6372</v>
      </c>
      <c r="T283" s="9">
        <v>51.010599999999997</v>
      </c>
      <c r="U283" s="9">
        <v>10.2193</v>
      </c>
      <c r="V283" s="9">
        <v>-0.36749999999999999</v>
      </c>
      <c r="W283" s="9">
        <v>-0.97319999999999995</v>
      </c>
      <c r="X283" s="9">
        <v>0.2382</v>
      </c>
      <c r="Y283" s="9">
        <v>0.43630000000000002</v>
      </c>
      <c r="Z283" s="9"/>
      <c r="AA283" s="9"/>
      <c r="AB283" s="9"/>
      <c r="AC283" s="9"/>
      <c r="AD283" s="8"/>
      <c r="AE283" s="8"/>
      <c r="AF283" s="8"/>
      <c r="AG283" s="8"/>
    </row>
    <row r="284" spans="1:33" x14ac:dyDescent="0.25">
      <c r="A284" s="8" t="s">
        <v>563</v>
      </c>
      <c r="B284" s="8" t="s">
        <v>163</v>
      </c>
      <c r="C284" s="8" t="s">
        <v>253</v>
      </c>
      <c r="D284" s="8" t="s">
        <v>105</v>
      </c>
      <c r="E284" s="8">
        <v>5</v>
      </c>
      <c r="F284" s="9">
        <v>65.637699999999995</v>
      </c>
      <c r="G284" s="9">
        <v>57.682699999999997</v>
      </c>
      <c r="H284" s="9">
        <v>73.592799999999997</v>
      </c>
      <c r="I284" s="9">
        <v>5.7304000000000004</v>
      </c>
      <c r="J284" s="9">
        <v>8123.8416999999999</v>
      </c>
      <c r="K284" s="9">
        <v>5515.598</v>
      </c>
      <c r="L284" s="9">
        <v>10732.0854</v>
      </c>
      <c r="M284" s="9">
        <v>1878.8368</v>
      </c>
      <c r="N284" s="9">
        <v>89.5077</v>
      </c>
      <c r="O284" s="9">
        <v>74.801900000000003</v>
      </c>
      <c r="P284" s="9">
        <v>104.2135</v>
      </c>
      <c r="Q284" s="9">
        <v>10.593299999999999</v>
      </c>
      <c r="R284" s="9">
        <v>67.019400000000005</v>
      </c>
      <c r="S284" s="9">
        <v>60.199800000000003</v>
      </c>
      <c r="T284" s="9">
        <v>73.838899999999995</v>
      </c>
      <c r="U284" s="9">
        <v>4.9123999999999999</v>
      </c>
      <c r="V284" s="9">
        <v>-0.39939999999999998</v>
      </c>
      <c r="W284" s="9">
        <v>-0.67190000000000005</v>
      </c>
      <c r="X284" s="9">
        <v>-0.12690000000000001</v>
      </c>
      <c r="Y284" s="9">
        <v>0.1963</v>
      </c>
      <c r="Z284" s="9"/>
      <c r="AA284" s="9"/>
      <c r="AB284" s="9"/>
      <c r="AC284" s="9"/>
      <c r="AD284" s="8"/>
      <c r="AE284" s="8"/>
      <c r="AF284" s="8"/>
      <c r="AG284" s="8"/>
    </row>
    <row r="285" spans="1:33" x14ac:dyDescent="0.25">
      <c r="A285" s="8" t="s">
        <v>563</v>
      </c>
      <c r="B285" s="8" t="s">
        <v>163</v>
      </c>
      <c r="C285" s="8" t="s">
        <v>253</v>
      </c>
      <c r="D285" s="8" t="s">
        <v>104</v>
      </c>
      <c r="E285" s="8">
        <v>5</v>
      </c>
      <c r="F285" s="9">
        <v>14.609400000000001</v>
      </c>
      <c r="G285" s="9">
        <v>9.8811</v>
      </c>
      <c r="H285" s="9">
        <v>19.337599999999998</v>
      </c>
      <c r="I285" s="9">
        <v>3.4060000000000001</v>
      </c>
      <c r="J285" s="9">
        <v>495.81150000000002</v>
      </c>
      <c r="K285" s="9">
        <v>162.66300000000001</v>
      </c>
      <c r="L285" s="9">
        <v>828.96</v>
      </c>
      <c r="M285" s="9">
        <v>239.9821</v>
      </c>
      <c r="N285" s="9">
        <v>21.6191</v>
      </c>
      <c r="O285" s="9">
        <v>14.2179</v>
      </c>
      <c r="P285" s="9">
        <v>29.020399999999999</v>
      </c>
      <c r="Q285" s="9">
        <v>5.3315000000000001</v>
      </c>
      <c r="R285" s="9">
        <v>88.491299999999995</v>
      </c>
      <c r="S285" s="9">
        <v>51.101199999999999</v>
      </c>
      <c r="T285" s="9">
        <v>125.8814</v>
      </c>
      <c r="U285" s="9">
        <v>26.933800000000002</v>
      </c>
      <c r="V285" s="9">
        <v>-0.98770000000000002</v>
      </c>
      <c r="W285" s="9">
        <v>-1.4854000000000001</v>
      </c>
      <c r="X285" s="9">
        <v>-0.4899</v>
      </c>
      <c r="Y285" s="9">
        <v>0.35859999999999997</v>
      </c>
      <c r="Z285" s="9"/>
      <c r="AA285" s="9"/>
      <c r="AB285" s="9"/>
      <c r="AC285" s="9"/>
      <c r="AD285" s="8"/>
      <c r="AE285" s="8"/>
      <c r="AF285" s="8"/>
      <c r="AG285" s="8"/>
    </row>
    <row r="286" spans="1:33" x14ac:dyDescent="0.25">
      <c r="A286" s="8" t="s">
        <v>563</v>
      </c>
      <c r="B286" s="8" t="s">
        <v>163</v>
      </c>
      <c r="C286" s="8" t="s">
        <v>253</v>
      </c>
      <c r="D286" s="8" t="s">
        <v>103</v>
      </c>
      <c r="E286" s="8">
        <v>5</v>
      </c>
      <c r="F286" s="9">
        <v>3.1004999999999998</v>
      </c>
      <c r="G286" s="9">
        <v>1.9466000000000001</v>
      </c>
      <c r="H286" s="9">
        <v>4.2544000000000004</v>
      </c>
      <c r="I286" s="9">
        <v>0.83120000000000005</v>
      </c>
      <c r="J286" s="9">
        <v>40.734099999999998</v>
      </c>
      <c r="K286" s="9">
        <v>9.5327000000000002</v>
      </c>
      <c r="L286" s="9">
        <v>71.935500000000005</v>
      </c>
      <c r="M286" s="9">
        <v>22.4758</v>
      </c>
      <c r="N286" s="9">
        <v>6.0468000000000002</v>
      </c>
      <c r="O286" s="9">
        <v>3.2120000000000002</v>
      </c>
      <c r="P286" s="9">
        <v>8.8817000000000004</v>
      </c>
      <c r="Q286" s="9">
        <v>2.0421</v>
      </c>
      <c r="R286" s="9">
        <v>68.022000000000006</v>
      </c>
      <c r="S286" s="9">
        <v>38.5124</v>
      </c>
      <c r="T286" s="9">
        <v>97.531499999999994</v>
      </c>
      <c r="U286" s="9">
        <v>21.257100000000001</v>
      </c>
      <c r="V286" s="9">
        <v>-1.0508999999999999</v>
      </c>
      <c r="W286" s="9">
        <v>-4.5312000000000001</v>
      </c>
      <c r="X286" s="9">
        <v>2.4293999999999998</v>
      </c>
      <c r="Y286" s="9">
        <v>2.5070000000000001</v>
      </c>
      <c r="Z286" s="9"/>
      <c r="AA286" s="9"/>
      <c r="AB286" s="9"/>
      <c r="AC286" s="9"/>
      <c r="AD286" s="8"/>
      <c r="AE286" s="8"/>
      <c r="AF286" s="8"/>
      <c r="AG286" s="8"/>
    </row>
    <row r="287" spans="1:33" x14ac:dyDescent="0.25">
      <c r="A287" s="8" t="s">
        <v>563</v>
      </c>
      <c r="B287" s="8" t="s">
        <v>163</v>
      </c>
      <c r="C287" s="8" t="s">
        <v>253</v>
      </c>
      <c r="D287" s="8" t="s">
        <v>106</v>
      </c>
      <c r="E287" s="8">
        <v>5</v>
      </c>
      <c r="F287" s="9">
        <v>0.36270000000000002</v>
      </c>
      <c r="G287" s="9">
        <v>0.253</v>
      </c>
      <c r="H287" s="9">
        <v>0.4723</v>
      </c>
      <c r="I287" s="9">
        <v>7.9000000000000001E-2</v>
      </c>
      <c r="J287" s="9">
        <v>0.30049999999999999</v>
      </c>
      <c r="K287" s="9">
        <v>4.0599999999999997E-2</v>
      </c>
      <c r="L287" s="9">
        <v>0.5605</v>
      </c>
      <c r="M287" s="9">
        <v>0.18729999999999999</v>
      </c>
      <c r="N287" s="9">
        <v>0.52280000000000004</v>
      </c>
      <c r="O287" s="9">
        <v>0.29370000000000002</v>
      </c>
      <c r="P287" s="9">
        <v>0.75190000000000001</v>
      </c>
      <c r="Q287" s="9">
        <v>0.16500000000000001</v>
      </c>
      <c r="R287" s="9">
        <v>84.3185</v>
      </c>
      <c r="S287" s="9">
        <v>54.309800000000003</v>
      </c>
      <c r="T287" s="9">
        <v>114.32729999999999</v>
      </c>
      <c r="U287" s="9">
        <v>21.616700000000002</v>
      </c>
      <c r="V287" s="9">
        <v>-1.3179000000000001</v>
      </c>
      <c r="W287" s="9">
        <v>-3.37</v>
      </c>
      <c r="X287" s="9">
        <v>0.73429999999999995</v>
      </c>
      <c r="Y287" s="9">
        <v>1.4782</v>
      </c>
      <c r="Z287" s="9"/>
      <c r="AA287" s="9"/>
      <c r="AB287" s="9"/>
      <c r="AC287" s="9"/>
      <c r="AD287" s="8"/>
      <c r="AE287" s="8"/>
      <c r="AF287" s="8"/>
      <c r="AG287" s="8"/>
    </row>
    <row r="288" spans="1:33" x14ac:dyDescent="0.25">
      <c r="A288" s="8" t="s">
        <v>563</v>
      </c>
      <c r="B288" s="8" t="s">
        <v>163</v>
      </c>
      <c r="C288" s="8" t="s">
        <v>253</v>
      </c>
      <c r="D288" s="8" t="s">
        <v>99</v>
      </c>
      <c r="E288" s="8">
        <v>5</v>
      </c>
      <c r="F288" s="9">
        <v>1.4329000000000001</v>
      </c>
      <c r="G288" s="9">
        <v>1.3147</v>
      </c>
      <c r="H288" s="9">
        <v>1.5510999999999999</v>
      </c>
      <c r="I288" s="9">
        <v>8.5099999999999995E-2</v>
      </c>
      <c r="J288" s="9">
        <v>3.2749999999999999</v>
      </c>
      <c r="K288" s="9">
        <v>2.5861000000000001</v>
      </c>
      <c r="L288" s="9">
        <v>3.964</v>
      </c>
      <c r="M288" s="9">
        <v>0.49630000000000002</v>
      </c>
      <c r="N288" s="9">
        <v>1.8044</v>
      </c>
      <c r="O288" s="9">
        <v>1.6120000000000001</v>
      </c>
      <c r="P288" s="9">
        <v>1.9966999999999999</v>
      </c>
      <c r="Q288" s="9">
        <v>0.1386</v>
      </c>
      <c r="R288" s="9">
        <v>48.3996</v>
      </c>
      <c r="S288" s="9">
        <v>29.637</v>
      </c>
      <c r="T288" s="9">
        <v>67.162300000000002</v>
      </c>
      <c r="U288" s="9">
        <v>13.515599999999999</v>
      </c>
      <c r="V288" s="9">
        <v>-1.4202999999999999</v>
      </c>
      <c r="W288" s="9">
        <v>-2.1671</v>
      </c>
      <c r="X288" s="9">
        <v>-0.67359999999999998</v>
      </c>
      <c r="Y288" s="9">
        <v>0.53790000000000004</v>
      </c>
      <c r="Z288" s="9"/>
      <c r="AA288" s="9"/>
      <c r="AB288" s="9"/>
      <c r="AC288" s="9"/>
      <c r="AD288" s="8"/>
      <c r="AE288" s="8"/>
      <c r="AF288" s="8"/>
      <c r="AG288" s="8"/>
    </row>
    <row r="289" spans="1:33" x14ac:dyDescent="0.25">
      <c r="A289" s="8" t="s">
        <v>563</v>
      </c>
      <c r="B289" s="8" t="s">
        <v>163</v>
      </c>
      <c r="C289" s="8" t="s">
        <v>254</v>
      </c>
      <c r="D289" s="8" t="s">
        <v>101</v>
      </c>
      <c r="E289" s="8">
        <v>5</v>
      </c>
      <c r="F289" s="9">
        <v>51.631500000000003</v>
      </c>
      <c r="G289" s="9">
        <v>38.403700000000001</v>
      </c>
      <c r="H289" s="9">
        <v>64.859300000000005</v>
      </c>
      <c r="I289" s="9">
        <v>9.5286000000000008</v>
      </c>
      <c r="J289" s="9">
        <v>6542.1442999999999</v>
      </c>
      <c r="K289" s="9">
        <v>1551.3726999999999</v>
      </c>
      <c r="L289" s="9">
        <v>11532.915800000001</v>
      </c>
      <c r="M289" s="9">
        <v>3595.0803000000001</v>
      </c>
      <c r="N289" s="9">
        <v>77.567499999999995</v>
      </c>
      <c r="O289" s="9">
        <v>45.746299999999998</v>
      </c>
      <c r="P289" s="9">
        <v>109.3887</v>
      </c>
      <c r="Q289" s="9">
        <v>22.9222</v>
      </c>
      <c r="R289" s="9">
        <v>24.303699999999999</v>
      </c>
      <c r="S289" s="9">
        <v>15.0184</v>
      </c>
      <c r="T289" s="9">
        <v>33.588999999999999</v>
      </c>
      <c r="U289" s="9">
        <v>6.6886000000000001</v>
      </c>
      <c r="V289" s="9">
        <v>7.8899999999999998E-2</v>
      </c>
      <c r="W289" s="9">
        <v>-0.36670000000000003</v>
      </c>
      <c r="X289" s="9">
        <v>0.52439999999999998</v>
      </c>
      <c r="Y289" s="9">
        <v>0.32100000000000001</v>
      </c>
      <c r="Z289" s="9"/>
      <c r="AA289" s="9"/>
      <c r="AB289" s="9"/>
      <c r="AC289" s="9"/>
      <c r="AD289" s="8"/>
      <c r="AE289" s="8"/>
      <c r="AF289" s="8"/>
      <c r="AG289" s="8"/>
    </row>
    <row r="290" spans="1:33" x14ac:dyDescent="0.25">
      <c r="A290" s="8" t="s">
        <v>563</v>
      </c>
      <c r="B290" s="8" t="s">
        <v>163</v>
      </c>
      <c r="C290" s="8" t="s">
        <v>254</v>
      </c>
      <c r="D290" s="8" t="s">
        <v>100</v>
      </c>
      <c r="E290" s="8">
        <v>5</v>
      </c>
      <c r="F290" s="9">
        <v>6.2163000000000004</v>
      </c>
      <c r="G290" s="9">
        <v>2.6421999999999999</v>
      </c>
      <c r="H290" s="9">
        <v>9.7903000000000002</v>
      </c>
      <c r="I290" s="9">
        <v>2.5746000000000002</v>
      </c>
      <c r="J290" s="9">
        <v>348.86090000000002</v>
      </c>
      <c r="K290" s="9">
        <v>-423.7629</v>
      </c>
      <c r="L290" s="9">
        <v>1121.4848</v>
      </c>
      <c r="M290" s="9">
        <v>556.55619999999999</v>
      </c>
      <c r="N290" s="9">
        <v>13.9582</v>
      </c>
      <c r="O290" s="9">
        <v>-3.2707999999999999</v>
      </c>
      <c r="P290" s="9">
        <v>31.187200000000001</v>
      </c>
      <c r="Q290" s="9">
        <v>12.4108</v>
      </c>
      <c r="R290" s="9">
        <v>37.1691</v>
      </c>
      <c r="S290" s="9">
        <v>22.214099999999998</v>
      </c>
      <c r="T290" s="9">
        <v>52.124099999999999</v>
      </c>
      <c r="U290" s="9">
        <v>10.7728</v>
      </c>
      <c r="V290" s="9">
        <v>-0.14649999999999999</v>
      </c>
      <c r="W290" s="9">
        <v>-1.4665999999999999</v>
      </c>
      <c r="X290" s="9">
        <v>1.1737</v>
      </c>
      <c r="Y290" s="9">
        <v>0.95089999999999997</v>
      </c>
      <c r="Z290" s="9"/>
      <c r="AA290" s="9"/>
      <c r="AB290" s="9"/>
      <c r="AC290" s="9"/>
      <c r="AD290" s="8"/>
      <c r="AE290" s="8"/>
      <c r="AF290" s="8"/>
      <c r="AG290" s="8"/>
    </row>
    <row r="291" spans="1:33" x14ac:dyDescent="0.25">
      <c r="A291" s="8" t="s">
        <v>563</v>
      </c>
      <c r="B291" s="8" t="s">
        <v>163</v>
      </c>
      <c r="C291" s="8" t="s">
        <v>254</v>
      </c>
      <c r="D291" s="8" t="s">
        <v>102</v>
      </c>
      <c r="E291" s="8">
        <v>5</v>
      </c>
      <c r="F291" s="9">
        <v>1.06E-2</v>
      </c>
      <c r="G291" s="9">
        <v>8.2000000000000007E-3</v>
      </c>
      <c r="H291" s="9">
        <v>1.29E-2</v>
      </c>
      <c r="I291" s="9">
        <v>1.6999999999999999E-3</v>
      </c>
      <c r="J291" s="9">
        <v>2.0000000000000001E-4</v>
      </c>
      <c r="K291" s="9">
        <v>1E-4</v>
      </c>
      <c r="L291" s="9">
        <v>2.9999999999999997E-4</v>
      </c>
      <c r="M291" s="9">
        <v>1E-4</v>
      </c>
      <c r="N291" s="9">
        <v>1.49E-2</v>
      </c>
      <c r="O291" s="9">
        <v>1.18E-2</v>
      </c>
      <c r="P291" s="9">
        <v>1.8100000000000002E-2</v>
      </c>
      <c r="Q291" s="9">
        <v>2.3E-3</v>
      </c>
      <c r="R291" s="9">
        <v>37.275700000000001</v>
      </c>
      <c r="S291" s="9">
        <v>15.7814</v>
      </c>
      <c r="T291" s="9">
        <v>58.7699</v>
      </c>
      <c r="U291" s="9">
        <v>15.4833</v>
      </c>
      <c r="V291" s="9">
        <v>-0.18229999999999999</v>
      </c>
      <c r="W291" s="9">
        <v>-0.66749999999999998</v>
      </c>
      <c r="X291" s="9">
        <v>0.3029</v>
      </c>
      <c r="Y291" s="9">
        <v>0.34949999999999998</v>
      </c>
      <c r="Z291" s="9"/>
      <c r="AA291" s="9"/>
      <c r="AB291" s="9"/>
      <c r="AC291" s="9"/>
      <c r="AD291" s="8"/>
      <c r="AE291" s="8"/>
      <c r="AF291" s="8"/>
      <c r="AG291" s="8"/>
    </row>
    <row r="292" spans="1:33" x14ac:dyDescent="0.25">
      <c r="A292" s="8" t="s">
        <v>563</v>
      </c>
      <c r="B292" s="8" t="s">
        <v>163</v>
      </c>
      <c r="C292" s="8" t="s">
        <v>254</v>
      </c>
      <c r="D292" s="8" t="s">
        <v>105</v>
      </c>
      <c r="E292" s="8">
        <v>5</v>
      </c>
      <c r="F292" s="9">
        <v>54.060200000000002</v>
      </c>
      <c r="G292" s="9">
        <v>45.354599999999998</v>
      </c>
      <c r="H292" s="9">
        <v>62.765900000000002</v>
      </c>
      <c r="I292" s="9">
        <v>6.2710999999999997</v>
      </c>
      <c r="J292" s="9">
        <v>5344.5047999999997</v>
      </c>
      <c r="K292" s="9">
        <v>3268.7166000000002</v>
      </c>
      <c r="L292" s="9">
        <v>7420.2930999999999</v>
      </c>
      <c r="M292" s="9">
        <v>1495.2849000000001</v>
      </c>
      <c r="N292" s="9">
        <v>72.381500000000003</v>
      </c>
      <c r="O292" s="9">
        <v>58.127899999999997</v>
      </c>
      <c r="P292" s="9">
        <v>86.635099999999994</v>
      </c>
      <c r="Q292" s="9">
        <v>10.2675</v>
      </c>
      <c r="R292" s="9">
        <v>54.3416</v>
      </c>
      <c r="S292" s="9">
        <v>49.5824</v>
      </c>
      <c r="T292" s="9">
        <v>59.1008</v>
      </c>
      <c r="U292" s="9">
        <v>3.4283000000000001</v>
      </c>
      <c r="V292" s="9">
        <v>8.6300000000000002E-2</v>
      </c>
      <c r="W292" s="9">
        <v>-0.12690000000000001</v>
      </c>
      <c r="X292" s="9">
        <v>0.29949999999999999</v>
      </c>
      <c r="Y292" s="9">
        <v>0.15359999999999999</v>
      </c>
      <c r="Z292" s="9"/>
      <c r="AA292" s="9"/>
      <c r="AB292" s="9"/>
      <c r="AC292" s="9"/>
      <c r="AD292" s="8"/>
      <c r="AE292" s="8"/>
      <c r="AF292" s="8"/>
      <c r="AG292" s="8"/>
    </row>
    <row r="293" spans="1:33" x14ac:dyDescent="0.25">
      <c r="A293" s="8" t="s">
        <v>563</v>
      </c>
      <c r="B293" s="8" t="s">
        <v>163</v>
      </c>
      <c r="C293" s="8" t="s">
        <v>254</v>
      </c>
      <c r="D293" s="8" t="s">
        <v>104</v>
      </c>
      <c r="E293" s="8">
        <v>5</v>
      </c>
      <c r="F293" s="9">
        <v>12.1015</v>
      </c>
      <c r="G293" s="9">
        <v>9.2721</v>
      </c>
      <c r="H293" s="9">
        <v>14.9308</v>
      </c>
      <c r="I293" s="9">
        <v>2.0381</v>
      </c>
      <c r="J293" s="9">
        <v>292.03739999999999</v>
      </c>
      <c r="K293" s="9">
        <v>127.8567</v>
      </c>
      <c r="L293" s="9">
        <v>456.21820000000002</v>
      </c>
      <c r="M293" s="9">
        <v>118.26690000000001</v>
      </c>
      <c r="N293" s="9">
        <v>16.745999999999999</v>
      </c>
      <c r="O293" s="9">
        <v>12.0159</v>
      </c>
      <c r="P293" s="9">
        <v>21.476099999999999</v>
      </c>
      <c r="Q293" s="9">
        <v>3.4073000000000002</v>
      </c>
      <c r="R293" s="9">
        <v>82.863900000000001</v>
      </c>
      <c r="S293" s="9">
        <v>48.319899999999997</v>
      </c>
      <c r="T293" s="9">
        <v>117.4079</v>
      </c>
      <c r="U293" s="9">
        <v>24.883600000000001</v>
      </c>
      <c r="V293" s="9">
        <v>-0.23749999999999999</v>
      </c>
      <c r="W293" s="9">
        <v>-0.72409999999999997</v>
      </c>
      <c r="X293" s="9">
        <v>0.24909999999999999</v>
      </c>
      <c r="Y293" s="9">
        <v>0.35049999999999998</v>
      </c>
      <c r="Z293" s="9"/>
      <c r="AA293" s="9"/>
      <c r="AB293" s="9"/>
      <c r="AC293" s="9"/>
      <c r="AD293" s="8"/>
      <c r="AE293" s="8"/>
      <c r="AF293" s="8"/>
      <c r="AG293" s="8"/>
    </row>
    <row r="294" spans="1:33" x14ac:dyDescent="0.25">
      <c r="A294" s="8" t="s">
        <v>563</v>
      </c>
      <c r="B294" s="8" t="s">
        <v>163</v>
      </c>
      <c r="C294" s="8" t="s">
        <v>254</v>
      </c>
      <c r="D294" s="8" t="s">
        <v>103</v>
      </c>
      <c r="E294" s="8">
        <v>5</v>
      </c>
      <c r="F294" s="9">
        <v>2.9321000000000002</v>
      </c>
      <c r="G294" s="9">
        <v>1.4789000000000001</v>
      </c>
      <c r="H294" s="9">
        <v>4.3853</v>
      </c>
      <c r="I294" s="9">
        <v>1.0468</v>
      </c>
      <c r="J294" s="9">
        <v>35.935699999999997</v>
      </c>
      <c r="K294" s="9">
        <v>-0.5998</v>
      </c>
      <c r="L294" s="9">
        <v>72.471100000000007</v>
      </c>
      <c r="M294" s="9">
        <v>26.318100000000001</v>
      </c>
      <c r="N294" s="9">
        <v>5.4757999999999996</v>
      </c>
      <c r="O294" s="9">
        <v>2.0893000000000002</v>
      </c>
      <c r="P294" s="9">
        <v>8.8623999999999992</v>
      </c>
      <c r="Q294" s="9">
        <v>2.4394999999999998</v>
      </c>
      <c r="R294" s="9">
        <v>67.379800000000003</v>
      </c>
      <c r="S294" s="9">
        <v>42.732399999999998</v>
      </c>
      <c r="T294" s="9">
        <v>92.027100000000004</v>
      </c>
      <c r="U294" s="9">
        <v>17.7546</v>
      </c>
      <c r="V294" s="9">
        <v>-6.4699999999999994E-2</v>
      </c>
      <c r="W294" s="9">
        <v>-0.95109999999999995</v>
      </c>
      <c r="X294" s="9">
        <v>0.8216</v>
      </c>
      <c r="Y294" s="9">
        <v>0.63849999999999996</v>
      </c>
      <c r="Z294" s="9"/>
      <c r="AA294" s="9"/>
      <c r="AB294" s="9"/>
      <c r="AC294" s="9"/>
      <c r="AD294" s="8"/>
      <c r="AE294" s="8"/>
      <c r="AF294" s="8"/>
      <c r="AG294" s="8"/>
    </row>
    <row r="295" spans="1:33" x14ac:dyDescent="0.25">
      <c r="A295" s="8" t="s">
        <v>563</v>
      </c>
      <c r="B295" s="8" t="s">
        <v>163</v>
      </c>
      <c r="C295" s="8" t="s">
        <v>254</v>
      </c>
      <c r="D295" s="8" t="s">
        <v>106</v>
      </c>
      <c r="E295" s="8">
        <v>5</v>
      </c>
      <c r="F295" s="9">
        <v>0.28539999999999999</v>
      </c>
      <c r="G295" s="9">
        <v>0.24079999999999999</v>
      </c>
      <c r="H295" s="9">
        <v>0.32990000000000003</v>
      </c>
      <c r="I295" s="9">
        <v>3.2099999999999997E-2</v>
      </c>
      <c r="J295" s="9">
        <v>0.15770000000000001</v>
      </c>
      <c r="K295" s="9">
        <v>0.1032</v>
      </c>
      <c r="L295" s="9">
        <v>0.2122</v>
      </c>
      <c r="M295" s="9">
        <v>3.9300000000000002E-2</v>
      </c>
      <c r="N295" s="9">
        <v>0.39419999999999999</v>
      </c>
      <c r="O295" s="9">
        <v>0.32829999999999998</v>
      </c>
      <c r="P295" s="9">
        <v>0.4602</v>
      </c>
      <c r="Q295" s="9">
        <v>4.7500000000000001E-2</v>
      </c>
      <c r="R295" s="9">
        <v>63.314700000000002</v>
      </c>
      <c r="S295" s="9">
        <v>45.250599999999999</v>
      </c>
      <c r="T295" s="9">
        <v>81.378799999999998</v>
      </c>
      <c r="U295" s="9">
        <v>13.0124</v>
      </c>
      <c r="V295" s="9">
        <v>-0.2581</v>
      </c>
      <c r="W295" s="9">
        <v>-0.90869999999999995</v>
      </c>
      <c r="X295" s="9">
        <v>0.39250000000000002</v>
      </c>
      <c r="Y295" s="9">
        <v>0.46870000000000001</v>
      </c>
      <c r="Z295" s="9"/>
      <c r="AA295" s="9"/>
      <c r="AB295" s="9"/>
      <c r="AC295" s="9"/>
      <c r="AD295" s="8"/>
      <c r="AE295" s="8"/>
      <c r="AF295" s="8"/>
      <c r="AG295" s="8"/>
    </row>
    <row r="296" spans="1:33" x14ac:dyDescent="0.25">
      <c r="A296" s="8" t="s">
        <v>563</v>
      </c>
      <c r="B296" s="8" t="s">
        <v>163</v>
      </c>
      <c r="C296" s="8" t="s">
        <v>254</v>
      </c>
      <c r="D296" s="8" t="s">
        <v>99</v>
      </c>
      <c r="E296" s="8">
        <v>5</v>
      </c>
      <c r="F296" s="9">
        <v>1.1443000000000001</v>
      </c>
      <c r="G296" s="9">
        <v>0.97070000000000001</v>
      </c>
      <c r="H296" s="9">
        <v>1.3178000000000001</v>
      </c>
      <c r="I296" s="9">
        <v>0.125</v>
      </c>
      <c r="J296" s="9">
        <v>2.0356999999999998</v>
      </c>
      <c r="K296" s="9">
        <v>1.39</v>
      </c>
      <c r="L296" s="9">
        <v>2.6815000000000002</v>
      </c>
      <c r="M296" s="9">
        <v>0.4652</v>
      </c>
      <c r="N296" s="9">
        <v>1.4178999999999999</v>
      </c>
      <c r="O296" s="9">
        <v>1.1977</v>
      </c>
      <c r="P296" s="9">
        <v>1.6382000000000001</v>
      </c>
      <c r="Q296" s="9">
        <v>0.15870000000000001</v>
      </c>
      <c r="R296" s="9">
        <v>40.030999999999999</v>
      </c>
      <c r="S296" s="9">
        <v>20.773199999999999</v>
      </c>
      <c r="T296" s="9">
        <v>59.288800000000002</v>
      </c>
      <c r="U296" s="9">
        <v>13.872299999999999</v>
      </c>
      <c r="V296" s="9">
        <v>-0.46789999999999998</v>
      </c>
      <c r="W296" s="9">
        <v>-0.78949999999999998</v>
      </c>
      <c r="X296" s="9">
        <v>-0.14630000000000001</v>
      </c>
      <c r="Y296" s="9">
        <v>0.2316</v>
      </c>
      <c r="Z296" s="9"/>
      <c r="AA296" s="9"/>
      <c r="AB296" s="9"/>
      <c r="AC296" s="9"/>
      <c r="AD296" s="8"/>
      <c r="AE296" s="8"/>
      <c r="AF296" s="8"/>
      <c r="AG296" s="8"/>
    </row>
  </sheetData>
  <sortState xmlns:xlrd2="http://schemas.microsoft.com/office/spreadsheetml/2017/richdata2" ref="A2:AG296">
    <sortCondition ref="A11:A296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3AD2-5153-4152-9C52-76C0F938CCB3}">
  <dimension ref="A1:H19"/>
  <sheetViews>
    <sheetView tabSelected="1" workbookViewId="0">
      <selection activeCell="E18" sqref="E18"/>
    </sheetView>
  </sheetViews>
  <sheetFormatPr defaultRowHeight="16.5" x14ac:dyDescent="0.25"/>
  <cols>
    <col min="1" max="1" width="24.875" customWidth="1"/>
    <col min="2" max="3" width="8.625" customWidth="1"/>
    <col min="4" max="4" width="14.625" customWidth="1"/>
    <col min="5" max="8" width="12.625" customWidth="1"/>
  </cols>
  <sheetData>
    <row r="1" spans="1:8" x14ac:dyDescent="0.25">
      <c r="A1" s="37" t="s">
        <v>137</v>
      </c>
      <c r="B1" s="38" t="s">
        <v>1307</v>
      </c>
      <c r="C1" s="38" t="s">
        <v>1308</v>
      </c>
      <c r="D1" s="38" t="s">
        <v>1345</v>
      </c>
      <c r="E1" s="49" t="s">
        <v>185</v>
      </c>
      <c r="F1" s="50"/>
      <c r="G1" s="50"/>
      <c r="H1" s="51"/>
    </row>
    <row r="2" spans="1:8" x14ac:dyDescent="0.25">
      <c r="A2" s="37" t="s">
        <v>137</v>
      </c>
      <c r="B2" s="49"/>
      <c r="C2" s="50"/>
      <c r="D2" s="50"/>
      <c r="E2" s="38" t="s">
        <v>1305</v>
      </c>
      <c r="F2" s="38" t="s">
        <v>1306</v>
      </c>
      <c r="G2" s="38" t="s">
        <v>1304</v>
      </c>
      <c r="H2" s="38" t="s">
        <v>186</v>
      </c>
    </row>
    <row r="3" spans="1:8" x14ac:dyDescent="0.25">
      <c r="A3" s="39" t="s">
        <v>203</v>
      </c>
      <c r="B3" s="40" t="s">
        <v>1344</v>
      </c>
      <c r="C3" s="40">
        <v>2</v>
      </c>
      <c r="D3" s="40" t="s">
        <v>183</v>
      </c>
      <c r="E3" s="40" t="s">
        <v>1309</v>
      </c>
      <c r="F3" s="40" t="s">
        <v>210</v>
      </c>
      <c r="G3" s="40" t="s">
        <v>209</v>
      </c>
      <c r="H3" s="40" t="s">
        <v>208</v>
      </c>
    </row>
    <row r="4" spans="1:8" x14ac:dyDescent="0.25">
      <c r="A4" s="39" t="s">
        <v>202</v>
      </c>
      <c r="B4" s="40" t="s">
        <v>1310</v>
      </c>
      <c r="C4" s="40">
        <v>2</v>
      </c>
      <c r="D4" s="40" t="s">
        <v>183</v>
      </c>
      <c r="E4" s="38" t="s">
        <v>1311</v>
      </c>
      <c r="F4" s="40" t="s">
        <v>215</v>
      </c>
      <c r="G4" s="38" t="s">
        <v>212</v>
      </c>
      <c r="H4" s="40" t="s">
        <v>211</v>
      </c>
    </row>
    <row r="5" spans="1:8" x14ac:dyDescent="0.25">
      <c r="A5" s="39" t="s">
        <v>206</v>
      </c>
      <c r="B5" s="40" t="s">
        <v>1312</v>
      </c>
      <c r="C5" s="40">
        <v>2</v>
      </c>
      <c r="D5" s="40" t="s">
        <v>182</v>
      </c>
      <c r="E5" s="40" t="s">
        <v>249</v>
      </c>
      <c r="F5" s="40" t="s">
        <v>250</v>
      </c>
      <c r="G5" s="40" t="s">
        <v>248</v>
      </c>
      <c r="H5" s="38" t="s">
        <v>247</v>
      </c>
    </row>
    <row r="6" spans="1:8" x14ac:dyDescent="0.25">
      <c r="A6" s="39" t="s">
        <v>207</v>
      </c>
      <c r="B6" s="40" t="s">
        <v>1313</v>
      </c>
      <c r="C6" s="40">
        <v>2</v>
      </c>
      <c r="D6" s="40" t="s">
        <v>182</v>
      </c>
      <c r="E6" s="40" t="s">
        <v>251</v>
      </c>
      <c r="F6" s="40" t="s">
        <v>252</v>
      </c>
      <c r="G6" s="40" t="s">
        <v>1314</v>
      </c>
      <c r="H6" s="40" t="s">
        <v>1315</v>
      </c>
    </row>
    <row r="7" spans="1:8" x14ac:dyDescent="0.25">
      <c r="A7" s="39" t="s">
        <v>204</v>
      </c>
      <c r="B7" s="40" t="s">
        <v>1316</v>
      </c>
      <c r="C7" s="40">
        <v>2</v>
      </c>
      <c r="D7" s="40" t="s">
        <v>183</v>
      </c>
      <c r="E7" s="40" t="s">
        <v>242</v>
      </c>
      <c r="F7" s="40" t="s">
        <v>243</v>
      </c>
      <c r="G7" s="40" t="s">
        <v>1317</v>
      </c>
      <c r="H7" s="40" t="s">
        <v>241</v>
      </c>
    </row>
    <row r="8" spans="1:8" x14ac:dyDescent="0.25">
      <c r="A8" s="39" t="s">
        <v>205</v>
      </c>
      <c r="B8" s="40" t="s">
        <v>1318</v>
      </c>
      <c r="C8" s="40">
        <v>2</v>
      </c>
      <c r="D8" s="40" t="s">
        <v>183</v>
      </c>
      <c r="E8" s="40" t="s">
        <v>245</v>
      </c>
      <c r="F8" s="40" t="s">
        <v>246</v>
      </c>
      <c r="G8" s="40" t="s">
        <v>244</v>
      </c>
      <c r="H8" s="40" t="s">
        <v>1319</v>
      </c>
    </row>
    <row r="9" spans="1:8" x14ac:dyDescent="0.25">
      <c r="A9" s="39" t="s">
        <v>371</v>
      </c>
      <c r="B9" s="40" t="s">
        <v>1344</v>
      </c>
      <c r="C9" s="40">
        <v>1</v>
      </c>
      <c r="D9" s="40" t="s">
        <v>183</v>
      </c>
      <c r="E9" s="40" t="s">
        <v>1320</v>
      </c>
      <c r="F9" s="40" t="s">
        <v>1321</v>
      </c>
      <c r="G9" s="40" t="s">
        <v>1322</v>
      </c>
      <c r="H9" s="40" t="s">
        <v>1323</v>
      </c>
    </row>
    <row r="10" spans="1:8" x14ac:dyDescent="0.25">
      <c r="A10" s="39" t="s">
        <v>369</v>
      </c>
      <c r="B10" s="40" t="s">
        <v>1310</v>
      </c>
      <c r="C10" s="40">
        <v>1</v>
      </c>
      <c r="D10" s="40" t="s">
        <v>183</v>
      </c>
      <c r="E10" s="40" t="s">
        <v>1324</v>
      </c>
      <c r="F10" s="38" t="s">
        <v>1325</v>
      </c>
      <c r="G10" s="40" t="s">
        <v>1326</v>
      </c>
      <c r="H10" s="40" t="s">
        <v>1327</v>
      </c>
    </row>
    <row r="11" spans="1:8" x14ac:dyDescent="0.25">
      <c r="A11" s="39" t="s">
        <v>374</v>
      </c>
      <c r="B11" s="40" t="s">
        <v>1312</v>
      </c>
      <c r="C11" s="40">
        <v>1</v>
      </c>
      <c r="D11" s="40" t="s">
        <v>183</v>
      </c>
      <c r="E11" s="40" t="s">
        <v>1328</v>
      </c>
      <c r="F11" s="40" t="s">
        <v>1329</v>
      </c>
      <c r="G11" s="40" t="s">
        <v>1330</v>
      </c>
      <c r="H11" s="40" t="s">
        <v>1331</v>
      </c>
    </row>
    <row r="12" spans="1:8" x14ac:dyDescent="0.25">
      <c r="A12" s="39" t="s">
        <v>375</v>
      </c>
      <c r="B12" s="40" t="s">
        <v>1313</v>
      </c>
      <c r="C12" s="40">
        <v>1</v>
      </c>
      <c r="D12" s="40" t="s">
        <v>183</v>
      </c>
      <c r="E12" s="40" t="s">
        <v>1332</v>
      </c>
      <c r="F12" s="40" t="s">
        <v>1333</v>
      </c>
      <c r="G12" s="40" t="s">
        <v>1334</v>
      </c>
      <c r="H12" s="40" t="s">
        <v>1335</v>
      </c>
    </row>
    <row r="13" spans="1:8" x14ac:dyDescent="0.25">
      <c r="A13" s="39" t="s">
        <v>372</v>
      </c>
      <c r="B13" s="40" t="s">
        <v>1316</v>
      </c>
      <c r="C13" s="40">
        <v>1</v>
      </c>
      <c r="D13" s="40" t="s">
        <v>182</v>
      </c>
      <c r="E13" s="40" t="s">
        <v>1336</v>
      </c>
      <c r="F13" s="40" t="s">
        <v>1337</v>
      </c>
      <c r="G13" s="40" t="s">
        <v>1338</v>
      </c>
      <c r="H13" s="40" t="s">
        <v>1339</v>
      </c>
    </row>
    <row r="14" spans="1:8" x14ac:dyDescent="0.25">
      <c r="A14" s="39" t="s">
        <v>373</v>
      </c>
      <c r="B14" s="40" t="s">
        <v>1318</v>
      </c>
      <c r="C14" s="40">
        <v>1</v>
      </c>
      <c r="D14" s="40" t="s">
        <v>182</v>
      </c>
      <c r="E14" s="40" t="s">
        <v>1340</v>
      </c>
      <c r="F14" s="40" t="s">
        <v>1341</v>
      </c>
      <c r="G14" s="40" t="s">
        <v>1342</v>
      </c>
      <c r="H14" s="40" t="s">
        <v>1343</v>
      </c>
    </row>
    <row r="15" spans="1:8" x14ac:dyDescent="0.25">
      <c r="A15" s="8"/>
      <c r="B15" s="12"/>
      <c r="C15" s="12"/>
    </row>
    <row r="16" spans="1:8" x14ac:dyDescent="0.25">
      <c r="A16" s="8"/>
      <c r="B16" s="12"/>
      <c r="C16" s="12"/>
    </row>
    <row r="17" spans="1:3" x14ac:dyDescent="0.25">
      <c r="A17" s="8"/>
      <c r="B17" s="12"/>
      <c r="C17" s="12"/>
    </row>
    <row r="18" spans="1:3" x14ac:dyDescent="0.25">
      <c r="A18" s="8"/>
      <c r="B18" s="12"/>
      <c r="C18" s="12"/>
    </row>
    <row r="19" spans="1:3" x14ac:dyDescent="0.25">
      <c r="A19" s="8"/>
      <c r="B19" s="12"/>
      <c r="C19" s="12"/>
    </row>
  </sheetData>
  <mergeCells count="2">
    <mergeCell ref="E1:H1"/>
    <mergeCell ref="B2:D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FB03-9DCD-4B61-A278-803DC63250AB}">
  <dimension ref="A1:AG103"/>
  <sheetViews>
    <sheetView workbookViewId="0">
      <selection activeCell="L25" sqref="L25"/>
    </sheetView>
  </sheetViews>
  <sheetFormatPr defaultRowHeight="16.5" x14ac:dyDescent="0.25"/>
  <cols>
    <col min="1" max="1" width="21.5" customWidth="1"/>
    <col min="10" max="10" width="10" customWidth="1"/>
  </cols>
  <sheetData>
    <row r="1" spans="1:33" x14ac:dyDescent="0.25">
      <c r="A1" s="8" t="s">
        <v>137</v>
      </c>
      <c r="B1" s="8" t="s">
        <v>168</v>
      </c>
      <c r="C1" s="8" t="s">
        <v>169</v>
      </c>
      <c r="D1" s="8" t="s">
        <v>139</v>
      </c>
      <c r="E1" s="8" t="s">
        <v>155</v>
      </c>
      <c r="F1" s="8" t="s">
        <v>156</v>
      </c>
      <c r="G1" s="8" t="s">
        <v>157</v>
      </c>
      <c r="H1" s="8" t="s">
        <v>158</v>
      </c>
      <c r="I1" s="8" t="s">
        <v>158</v>
      </c>
      <c r="J1" s="8" t="s">
        <v>170</v>
      </c>
      <c r="K1" s="8" t="s">
        <v>171</v>
      </c>
      <c r="L1" s="8" t="s">
        <v>172</v>
      </c>
      <c r="M1" s="8" t="s">
        <v>173</v>
      </c>
      <c r="N1" s="8" t="s">
        <v>173</v>
      </c>
      <c r="O1" s="8" t="s">
        <v>174</v>
      </c>
      <c r="P1" s="8" t="s">
        <v>175</v>
      </c>
      <c r="Q1" s="8" t="s">
        <v>176</v>
      </c>
      <c r="R1" s="8" t="s">
        <v>177</v>
      </c>
      <c r="S1" s="8" t="s">
        <v>177</v>
      </c>
      <c r="T1" s="8" t="s">
        <v>159</v>
      </c>
      <c r="U1" s="8" t="s">
        <v>160</v>
      </c>
      <c r="V1" s="8" t="s">
        <v>161</v>
      </c>
      <c r="W1" s="8" t="s">
        <v>162</v>
      </c>
      <c r="X1" s="8" t="s">
        <v>162</v>
      </c>
      <c r="Y1" s="8" t="s">
        <v>178</v>
      </c>
      <c r="Z1" s="8" t="s">
        <v>179</v>
      </c>
      <c r="AA1" s="8" t="s">
        <v>180</v>
      </c>
      <c r="AB1" s="8" t="s">
        <v>181</v>
      </c>
      <c r="AC1" s="8" t="s">
        <v>181</v>
      </c>
      <c r="AD1" s="8"/>
      <c r="AE1" s="8"/>
      <c r="AF1" s="8"/>
      <c r="AG1" s="8"/>
    </row>
    <row r="2" spans="1:33" x14ac:dyDescent="0.25">
      <c r="A2" s="8" t="s">
        <v>203</v>
      </c>
      <c r="B2" s="8" t="s">
        <v>185</v>
      </c>
      <c r="C2" s="8" t="s">
        <v>183</v>
      </c>
      <c r="D2" s="8">
        <v>5</v>
      </c>
      <c r="E2" s="8">
        <v>0.70289999999999997</v>
      </c>
      <c r="F2" s="8">
        <v>0.6794</v>
      </c>
      <c r="G2" s="8">
        <v>0.72640000000000005</v>
      </c>
      <c r="H2" s="8">
        <v>1.6899999999999998E-2</v>
      </c>
      <c r="I2" s="12" t="str">
        <f t="shared" ref="I2:I27" si="0">ROUND(E2*100,1)&amp;" ("&amp;ROUND(F2*100,1)&amp;" ~ "&amp;ROUND(G2*100,1)&amp;")"</f>
        <v>70.3 (67.9 ~ 72.6)</v>
      </c>
      <c r="J2" s="8">
        <v>0.66159999999999997</v>
      </c>
      <c r="K2" s="8">
        <v>0.6351</v>
      </c>
      <c r="L2" s="8">
        <v>0.68810000000000004</v>
      </c>
      <c r="M2" s="8">
        <v>1.9099999999999999E-2</v>
      </c>
      <c r="N2" s="12" t="str">
        <f t="shared" ref="N2:N27" si="1">ROUND(J2*100,1)&amp;" ("&amp;ROUND(K2*100,1)&amp;" ~ "&amp;ROUND(L2*100,1)&amp;")"</f>
        <v>66.2 (63.5 ~ 68.8)</v>
      </c>
      <c r="O2" s="8">
        <v>0.70840000000000003</v>
      </c>
      <c r="P2" s="8">
        <v>0.68520000000000003</v>
      </c>
      <c r="Q2" s="8">
        <v>0.73160000000000003</v>
      </c>
      <c r="R2" s="8">
        <v>1.67E-2</v>
      </c>
      <c r="S2" s="12" t="str">
        <f t="shared" ref="S2:S27" si="2">ROUND(O2*100,1)&amp;" ("&amp;ROUND(P2*100,1)&amp;" ~ "&amp;ROUND(Q2*100,1)&amp;")"</f>
        <v>70.8 (68.5 ~ 73.2)</v>
      </c>
      <c r="T2" s="8">
        <v>0.83250000000000002</v>
      </c>
      <c r="U2" s="8">
        <v>0.80410000000000004</v>
      </c>
      <c r="V2" s="8">
        <v>0.86080000000000001</v>
      </c>
      <c r="W2" s="8">
        <v>2.0400000000000001E-2</v>
      </c>
      <c r="X2" s="12" t="str">
        <f t="shared" ref="X2:X27" si="3">ROUND(T2*100,1)&amp;" ("&amp;ROUND(U2*100,1)&amp;" ~ "&amp;ROUND(V2*100,1)&amp;")"</f>
        <v>83.3 (80.4 ~ 86.1)</v>
      </c>
      <c r="Y2" s="8">
        <v>0.70599999999999996</v>
      </c>
      <c r="Z2" s="8">
        <v>0.66059999999999997</v>
      </c>
      <c r="AA2" s="8">
        <v>0.75139999999999996</v>
      </c>
      <c r="AB2" s="8">
        <v>3.27E-2</v>
      </c>
      <c r="AC2" s="12" t="str">
        <f t="shared" ref="AC2:AC27" si="4">ROUND(Y2*100,1)&amp;" ("&amp;ROUND(Z2*100,1)&amp;" ~ "&amp;ROUND(AA2*100,1)&amp;")"</f>
        <v>70.6 (66.1 ~ 75.1)</v>
      </c>
    </row>
    <row r="3" spans="1:33" x14ac:dyDescent="0.25">
      <c r="A3" s="8" t="s">
        <v>203</v>
      </c>
      <c r="B3" s="8" t="s">
        <v>185</v>
      </c>
      <c r="C3" s="8" t="s">
        <v>184</v>
      </c>
      <c r="D3" s="8">
        <v>5</v>
      </c>
      <c r="E3" s="8">
        <v>0.70960000000000001</v>
      </c>
      <c r="F3" s="8">
        <v>0.69099999999999995</v>
      </c>
      <c r="G3" s="8">
        <v>0.72819999999999996</v>
      </c>
      <c r="H3" s="8">
        <v>1.34E-2</v>
      </c>
      <c r="I3" s="12" t="str">
        <f t="shared" si="0"/>
        <v>71 (69.1 ~ 72.8)</v>
      </c>
      <c r="J3" s="8">
        <v>0.57520000000000004</v>
      </c>
      <c r="K3" s="8">
        <v>0.53649999999999998</v>
      </c>
      <c r="L3" s="8">
        <v>0.61399999999999999</v>
      </c>
      <c r="M3" s="8">
        <v>2.7900000000000001E-2</v>
      </c>
      <c r="N3" s="12" t="str">
        <f t="shared" si="1"/>
        <v>57.5 (53.7 ~ 61.4)</v>
      </c>
      <c r="O3" s="8">
        <v>0.66169999999999995</v>
      </c>
      <c r="P3" s="8">
        <v>0.63639999999999997</v>
      </c>
      <c r="Q3" s="8">
        <v>0.68689999999999996</v>
      </c>
      <c r="R3" s="8">
        <v>1.8200000000000001E-2</v>
      </c>
      <c r="S3" s="12" t="str">
        <f t="shared" si="2"/>
        <v>66.2 (63.6 ~ 68.7)</v>
      </c>
      <c r="T3" s="8">
        <v>0.80279999999999996</v>
      </c>
      <c r="U3" s="8">
        <v>0.77390000000000003</v>
      </c>
      <c r="V3" s="8">
        <v>0.83169999999999999</v>
      </c>
      <c r="W3" s="8">
        <v>2.0799999999999999E-2</v>
      </c>
      <c r="X3" s="12" t="str">
        <f t="shared" si="3"/>
        <v>80.3 (77.4 ~ 83.2)</v>
      </c>
      <c r="Y3" s="8">
        <v>0.65569999999999995</v>
      </c>
      <c r="Z3" s="8">
        <v>0.6119</v>
      </c>
      <c r="AA3" s="8">
        <v>0.6996</v>
      </c>
      <c r="AB3" s="8">
        <v>3.1600000000000003E-2</v>
      </c>
      <c r="AC3" s="12" t="str">
        <f t="shared" si="4"/>
        <v>65.6 (61.2 ~ 70)</v>
      </c>
    </row>
    <row r="4" spans="1:33" x14ac:dyDescent="0.25">
      <c r="A4" s="8" t="s">
        <v>203</v>
      </c>
      <c r="B4" s="8" t="s">
        <v>185</v>
      </c>
      <c r="C4" s="8" t="s">
        <v>182</v>
      </c>
      <c r="D4" s="8">
        <v>5</v>
      </c>
      <c r="E4" s="8">
        <v>0.72799999999999998</v>
      </c>
      <c r="F4" s="8">
        <v>0.71240000000000003</v>
      </c>
      <c r="G4" s="8">
        <v>0.74360000000000004</v>
      </c>
      <c r="H4" s="8">
        <v>1.12E-2</v>
      </c>
      <c r="I4" s="12" t="str">
        <f t="shared" si="0"/>
        <v>72.8 (71.2 ~ 74.4)</v>
      </c>
      <c r="J4" s="8">
        <v>0.62409999999999999</v>
      </c>
      <c r="K4" s="8">
        <v>0.60680000000000001</v>
      </c>
      <c r="L4" s="8">
        <v>0.64129999999999998</v>
      </c>
      <c r="M4" s="8">
        <v>1.24E-2</v>
      </c>
      <c r="N4" s="12" t="str">
        <f t="shared" si="1"/>
        <v>62.4 (60.7 ~ 64.1)</v>
      </c>
      <c r="O4" s="8">
        <v>0.69469999999999998</v>
      </c>
      <c r="P4" s="8">
        <v>0.67989999999999995</v>
      </c>
      <c r="Q4" s="8">
        <v>0.70960000000000001</v>
      </c>
      <c r="R4" s="8">
        <v>1.0699999999999999E-2</v>
      </c>
      <c r="S4" s="12" t="str">
        <f t="shared" si="2"/>
        <v>69.5 (68 ~ 71)</v>
      </c>
      <c r="T4" s="8">
        <v>0.83050000000000002</v>
      </c>
      <c r="U4" s="8">
        <v>0.80789999999999995</v>
      </c>
      <c r="V4" s="8">
        <v>0.85309999999999997</v>
      </c>
      <c r="W4" s="8">
        <v>1.6299999999999999E-2</v>
      </c>
      <c r="X4" s="12" t="str">
        <f t="shared" si="3"/>
        <v>83.1 (80.8 ~ 85.3)</v>
      </c>
      <c r="Y4" s="8">
        <v>0.69389999999999996</v>
      </c>
      <c r="Z4" s="8">
        <v>0.65549999999999997</v>
      </c>
      <c r="AA4" s="8">
        <v>0.73229999999999995</v>
      </c>
      <c r="AB4" s="8">
        <v>2.76E-2</v>
      </c>
      <c r="AC4" s="12" t="str">
        <f t="shared" si="4"/>
        <v>69.4 (65.6 ~ 73.2)</v>
      </c>
    </row>
    <row r="5" spans="1:33" x14ac:dyDescent="0.25">
      <c r="A5" s="8" t="s">
        <v>203</v>
      </c>
      <c r="B5" s="8" t="s">
        <v>124</v>
      </c>
      <c r="C5" s="8" t="s">
        <v>183</v>
      </c>
      <c r="D5" s="8">
        <v>5</v>
      </c>
      <c r="E5" s="8">
        <v>0.59670000000000001</v>
      </c>
      <c r="F5" s="8">
        <v>0.55769999999999997</v>
      </c>
      <c r="G5" s="8">
        <v>0.63570000000000004</v>
      </c>
      <c r="H5" s="8">
        <v>2.81E-2</v>
      </c>
      <c r="I5" s="12" t="str">
        <f t="shared" si="0"/>
        <v>59.7 (55.8 ~ 63.6)</v>
      </c>
      <c r="J5" s="8">
        <v>0.57210000000000005</v>
      </c>
      <c r="K5" s="8">
        <v>0.53459999999999996</v>
      </c>
      <c r="L5" s="8">
        <v>0.60960000000000003</v>
      </c>
      <c r="M5" s="8">
        <v>2.7E-2</v>
      </c>
      <c r="N5" s="12" t="str">
        <f t="shared" si="1"/>
        <v>57.2 (53.5 ~ 61)</v>
      </c>
      <c r="O5" s="8">
        <v>0.60909999999999997</v>
      </c>
      <c r="P5" s="8">
        <v>0.56389999999999996</v>
      </c>
      <c r="Q5" s="8">
        <v>0.65439999999999998</v>
      </c>
      <c r="R5" s="8">
        <v>3.2599999999999997E-2</v>
      </c>
      <c r="S5" s="12" t="str">
        <f t="shared" si="2"/>
        <v>60.9 (56.4 ~ 65.4)</v>
      </c>
      <c r="T5" s="8">
        <v>0.78349999999999997</v>
      </c>
      <c r="U5" s="8">
        <v>0.77249999999999996</v>
      </c>
      <c r="V5" s="8">
        <v>0.7944</v>
      </c>
      <c r="W5" s="8">
        <v>7.9000000000000008E-3</v>
      </c>
      <c r="X5" s="12" t="str">
        <f t="shared" si="3"/>
        <v>78.4 (77.3 ~ 79.4)</v>
      </c>
      <c r="Y5" s="8">
        <v>0.62739999999999996</v>
      </c>
      <c r="Z5" s="8">
        <v>0.60909999999999997</v>
      </c>
      <c r="AA5" s="8">
        <v>0.64570000000000005</v>
      </c>
      <c r="AB5" s="8">
        <v>1.32E-2</v>
      </c>
      <c r="AC5" s="12" t="str">
        <f t="shared" si="4"/>
        <v>62.7 (60.9 ~ 64.6)</v>
      </c>
    </row>
    <row r="6" spans="1:33" x14ac:dyDescent="0.25">
      <c r="A6" s="8" t="s">
        <v>203</v>
      </c>
      <c r="B6" s="8" t="s">
        <v>124</v>
      </c>
      <c r="C6" s="8" t="s">
        <v>184</v>
      </c>
      <c r="D6" s="8">
        <v>5</v>
      </c>
      <c r="E6" s="8">
        <v>0.68369999999999997</v>
      </c>
      <c r="F6" s="8">
        <v>0.66739999999999999</v>
      </c>
      <c r="G6" s="8">
        <v>0.7</v>
      </c>
      <c r="H6" s="8">
        <v>1.17E-2</v>
      </c>
      <c r="I6" s="12" t="str">
        <f t="shared" si="0"/>
        <v>68.4 (66.7 ~ 70)</v>
      </c>
      <c r="J6" s="8">
        <v>0.56530000000000002</v>
      </c>
      <c r="K6" s="8">
        <v>0.54259999999999997</v>
      </c>
      <c r="L6" s="8">
        <v>0.58799999999999997</v>
      </c>
      <c r="M6" s="8">
        <v>1.6299999999999999E-2</v>
      </c>
      <c r="N6" s="12" t="str">
        <f t="shared" si="1"/>
        <v>56.5 (54.3 ~ 58.8)</v>
      </c>
      <c r="O6" s="8">
        <v>0.64559999999999995</v>
      </c>
      <c r="P6" s="8">
        <v>0.62790000000000001</v>
      </c>
      <c r="Q6" s="8">
        <v>0.66320000000000001</v>
      </c>
      <c r="R6" s="8">
        <v>1.2699999999999999E-2</v>
      </c>
      <c r="S6" s="12" t="str">
        <f t="shared" si="2"/>
        <v>64.6 (62.8 ~ 66.3)</v>
      </c>
      <c r="T6" s="8">
        <v>0.78269999999999995</v>
      </c>
      <c r="U6" s="8">
        <v>0.75670000000000004</v>
      </c>
      <c r="V6" s="8">
        <v>0.80879999999999996</v>
      </c>
      <c r="W6" s="8">
        <v>1.8800000000000001E-2</v>
      </c>
      <c r="X6" s="12" t="str">
        <f t="shared" si="3"/>
        <v>78.3 (75.7 ~ 80.9)</v>
      </c>
      <c r="Y6" s="8">
        <v>0.62380000000000002</v>
      </c>
      <c r="Z6" s="8">
        <v>0.58520000000000005</v>
      </c>
      <c r="AA6" s="8">
        <v>0.66239999999999999</v>
      </c>
      <c r="AB6" s="8">
        <v>2.7799999999999998E-2</v>
      </c>
      <c r="AC6" s="12" t="str">
        <f t="shared" si="4"/>
        <v>62.4 (58.5 ~ 66.2)</v>
      </c>
    </row>
    <row r="7" spans="1:33" x14ac:dyDescent="0.25">
      <c r="A7" s="8" t="s">
        <v>203</v>
      </c>
      <c r="B7" s="8" t="s">
        <v>124</v>
      </c>
      <c r="C7" s="8" t="s">
        <v>182</v>
      </c>
      <c r="D7" s="8">
        <v>5</v>
      </c>
      <c r="E7" s="8">
        <v>0.67700000000000005</v>
      </c>
      <c r="F7" s="8">
        <v>0.6492</v>
      </c>
      <c r="G7" s="8">
        <v>0.70479999999999998</v>
      </c>
      <c r="H7" s="8">
        <v>0.02</v>
      </c>
      <c r="I7" s="12" t="str">
        <f t="shared" si="0"/>
        <v>67.7 (64.9 ~ 70.5)</v>
      </c>
      <c r="J7" s="8">
        <v>0.5786</v>
      </c>
      <c r="K7" s="8">
        <v>0.52659999999999996</v>
      </c>
      <c r="L7" s="8">
        <v>0.63060000000000005</v>
      </c>
      <c r="M7" s="8">
        <v>3.7499999999999999E-2</v>
      </c>
      <c r="N7" s="12" t="str">
        <f t="shared" si="1"/>
        <v>57.9 (52.7 ~ 63.1)</v>
      </c>
      <c r="O7" s="8">
        <v>0.65100000000000002</v>
      </c>
      <c r="P7" s="8">
        <v>0.61250000000000004</v>
      </c>
      <c r="Q7" s="8">
        <v>0.68959999999999999</v>
      </c>
      <c r="R7" s="8">
        <v>2.7799999999999998E-2</v>
      </c>
      <c r="S7" s="12" t="str">
        <f t="shared" si="2"/>
        <v>65.1 (61.3 ~ 69)</v>
      </c>
      <c r="T7" s="8">
        <v>0.78690000000000004</v>
      </c>
      <c r="U7" s="8">
        <v>0.75900000000000001</v>
      </c>
      <c r="V7" s="8">
        <v>0.81469999999999998</v>
      </c>
      <c r="W7" s="8">
        <v>2.01E-2</v>
      </c>
      <c r="X7" s="12" t="str">
        <f t="shared" si="3"/>
        <v>78.7 (75.9 ~ 81.5)</v>
      </c>
      <c r="Y7" s="8">
        <v>0.63759999999999994</v>
      </c>
      <c r="Z7" s="8">
        <v>0.60550000000000004</v>
      </c>
      <c r="AA7" s="8">
        <v>0.66959999999999997</v>
      </c>
      <c r="AB7" s="8">
        <v>2.3099999999999999E-2</v>
      </c>
      <c r="AC7" s="12" t="str">
        <f t="shared" si="4"/>
        <v>63.8 (60.6 ~ 67)</v>
      </c>
    </row>
    <row r="8" spans="1:33" x14ac:dyDescent="0.25">
      <c r="A8" s="8" t="s">
        <v>202</v>
      </c>
      <c r="B8" s="8" t="s">
        <v>185</v>
      </c>
      <c r="C8" s="8" t="s">
        <v>183</v>
      </c>
      <c r="D8" s="8">
        <v>5</v>
      </c>
      <c r="E8" s="8">
        <v>0.71209999999999996</v>
      </c>
      <c r="F8" s="8">
        <v>0.68220000000000003</v>
      </c>
      <c r="G8" s="8">
        <v>0.74199999999999999</v>
      </c>
      <c r="H8" s="8">
        <v>2.1499999999999998E-2</v>
      </c>
      <c r="I8" s="12" t="str">
        <f t="shared" si="0"/>
        <v>71.2 (68.2 ~ 74.2)</v>
      </c>
      <c r="J8" s="8">
        <v>0.66339999999999999</v>
      </c>
      <c r="K8" s="8">
        <v>0.63290000000000002</v>
      </c>
      <c r="L8" s="8">
        <v>0.69379999999999997</v>
      </c>
      <c r="M8" s="8">
        <v>2.1899999999999999E-2</v>
      </c>
      <c r="N8" s="12" t="str">
        <f t="shared" si="1"/>
        <v>66.3 (63.3 ~ 69.4)</v>
      </c>
      <c r="O8" s="8">
        <v>0.71299999999999997</v>
      </c>
      <c r="P8" s="8">
        <v>0.68369999999999997</v>
      </c>
      <c r="Q8" s="8">
        <v>0.74239999999999995</v>
      </c>
      <c r="R8" s="8">
        <v>2.12E-2</v>
      </c>
      <c r="S8" s="12" t="str">
        <f t="shared" si="2"/>
        <v>71.3 (68.4 ~ 74.2)</v>
      </c>
      <c r="T8" s="8">
        <v>0.84119999999999995</v>
      </c>
      <c r="U8" s="8">
        <v>0.81979999999999997</v>
      </c>
      <c r="V8" s="8">
        <v>0.86270000000000002</v>
      </c>
      <c r="W8" s="8">
        <v>1.54E-2</v>
      </c>
      <c r="X8" s="12" t="str">
        <f t="shared" si="3"/>
        <v>84.1 (82 ~ 86.3)</v>
      </c>
      <c r="Y8" s="8">
        <v>0.7046</v>
      </c>
      <c r="Z8" s="8">
        <v>0.67210000000000003</v>
      </c>
      <c r="AA8" s="8">
        <v>0.73709999999999998</v>
      </c>
      <c r="AB8" s="8">
        <v>2.3400000000000001E-2</v>
      </c>
      <c r="AC8" s="12" t="str">
        <f t="shared" si="4"/>
        <v>70.5 (67.2 ~ 73.7)</v>
      </c>
    </row>
    <row r="9" spans="1:33" x14ac:dyDescent="0.25">
      <c r="A9" s="8" t="s">
        <v>202</v>
      </c>
      <c r="B9" s="8" t="s">
        <v>185</v>
      </c>
      <c r="C9" s="8" t="s">
        <v>184</v>
      </c>
      <c r="D9" s="8">
        <v>5</v>
      </c>
      <c r="E9" s="8">
        <v>0.71879999999999999</v>
      </c>
      <c r="F9" s="8">
        <v>0.70760000000000001</v>
      </c>
      <c r="G9" s="8">
        <v>0.73</v>
      </c>
      <c r="H9" s="8">
        <v>8.0999999999999996E-3</v>
      </c>
      <c r="I9" s="12" t="str">
        <f t="shared" si="0"/>
        <v>71.9 (70.8 ~ 73)</v>
      </c>
      <c r="J9" s="8">
        <v>0.57979999999999998</v>
      </c>
      <c r="K9" s="8">
        <v>0.55920000000000003</v>
      </c>
      <c r="L9" s="8">
        <v>0.60050000000000003</v>
      </c>
      <c r="M9" s="8">
        <v>1.49E-2</v>
      </c>
      <c r="N9" s="12" t="str">
        <f t="shared" si="1"/>
        <v>58 (55.9 ~ 60.1)</v>
      </c>
      <c r="O9" s="8">
        <v>0.67020000000000002</v>
      </c>
      <c r="P9" s="8">
        <v>0.6593</v>
      </c>
      <c r="Q9" s="8">
        <v>0.68100000000000005</v>
      </c>
      <c r="R9" s="8">
        <v>7.7999999999999996E-3</v>
      </c>
      <c r="S9" s="12" t="str">
        <f t="shared" si="2"/>
        <v>67 (65.9 ~ 68.1)</v>
      </c>
      <c r="T9" s="8">
        <v>0.81020000000000003</v>
      </c>
      <c r="U9" s="8">
        <v>0.78810000000000002</v>
      </c>
      <c r="V9" s="8">
        <v>0.83230000000000004</v>
      </c>
      <c r="W9" s="8">
        <v>1.5900000000000001E-2</v>
      </c>
      <c r="X9" s="12" t="str">
        <f t="shared" si="3"/>
        <v>81 (78.8 ~ 83.2)</v>
      </c>
      <c r="Y9" s="8">
        <v>0.65139999999999998</v>
      </c>
      <c r="Z9" s="8">
        <v>0.62560000000000004</v>
      </c>
      <c r="AA9" s="8">
        <v>0.67730000000000001</v>
      </c>
      <c r="AB9" s="8">
        <v>1.8599999999999998E-2</v>
      </c>
      <c r="AC9" s="12" t="str">
        <f t="shared" si="4"/>
        <v>65.1 (62.6 ~ 67.7)</v>
      </c>
    </row>
    <row r="10" spans="1:33" x14ac:dyDescent="0.25">
      <c r="A10" s="8" t="s">
        <v>202</v>
      </c>
      <c r="B10" s="8" t="s">
        <v>185</v>
      </c>
      <c r="C10" s="8" t="s">
        <v>182</v>
      </c>
      <c r="D10" s="8">
        <v>5</v>
      </c>
      <c r="E10" s="8">
        <v>0.72889999999999999</v>
      </c>
      <c r="F10" s="8">
        <v>0.70640000000000003</v>
      </c>
      <c r="G10" s="8">
        <v>0.75129999999999997</v>
      </c>
      <c r="H10" s="8">
        <v>1.6199999999999999E-2</v>
      </c>
      <c r="I10" s="12" t="str">
        <f t="shared" si="0"/>
        <v>72.9 (70.6 ~ 75.1)</v>
      </c>
      <c r="J10" s="8">
        <v>0.61099999999999999</v>
      </c>
      <c r="K10" s="8">
        <v>0.57240000000000002</v>
      </c>
      <c r="L10" s="8">
        <v>0.64959999999999996</v>
      </c>
      <c r="M10" s="8">
        <v>2.7799999999999998E-2</v>
      </c>
      <c r="N10" s="12" t="str">
        <f t="shared" si="1"/>
        <v>61.1 (57.2 ~ 65)</v>
      </c>
      <c r="O10" s="8">
        <v>0.69030000000000002</v>
      </c>
      <c r="P10" s="8">
        <v>0.66210000000000002</v>
      </c>
      <c r="Q10" s="8">
        <v>0.71850000000000003</v>
      </c>
      <c r="R10" s="8">
        <v>2.0299999999999999E-2</v>
      </c>
      <c r="S10" s="12" t="str">
        <f t="shared" si="2"/>
        <v>69 (66.2 ~ 71.9)</v>
      </c>
      <c r="T10" s="8">
        <v>0.82720000000000005</v>
      </c>
      <c r="U10" s="8">
        <v>0.8034</v>
      </c>
      <c r="V10" s="8">
        <v>0.85099999999999998</v>
      </c>
      <c r="W10" s="8">
        <v>1.7100000000000001E-2</v>
      </c>
      <c r="X10" s="12" t="str">
        <f t="shared" si="3"/>
        <v>82.7 (80.3 ~ 85.1)</v>
      </c>
      <c r="Y10" s="8">
        <v>0.67779999999999996</v>
      </c>
      <c r="Z10" s="8">
        <v>0.64419999999999999</v>
      </c>
      <c r="AA10" s="8">
        <v>0.71140000000000003</v>
      </c>
      <c r="AB10" s="8">
        <v>2.4199999999999999E-2</v>
      </c>
      <c r="AC10" s="12" t="str">
        <f t="shared" si="4"/>
        <v>67.8 (64.4 ~ 71.1)</v>
      </c>
    </row>
    <row r="11" spans="1:33" x14ac:dyDescent="0.25">
      <c r="A11" s="8" t="s">
        <v>202</v>
      </c>
      <c r="B11" s="8" t="s">
        <v>124</v>
      </c>
      <c r="C11" s="8" t="s">
        <v>183</v>
      </c>
      <c r="D11" s="8">
        <v>5</v>
      </c>
      <c r="E11" s="8">
        <v>0.55810000000000004</v>
      </c>
      <c r="F11" s="8">
        <v>0.53200000000000003</v>
      </c>
      <c r="G11" s="8">
        <v>0.58430000000000004</v>
      </c>
      <c r="H11" s="8">
        <v>1.8800000000000001E-2</v>
      </c>
      <c r="I11" s="12" t="str">
        <f t="shared" si="0"/>
        <v>55.8 (53.2 ~ 58.4)</v>
      </c>
      <c r="J11" s="8">
        <v>0.54320000000000002</v>
      </c>
      <c r="K11" s="8">
        <v>0.52110000000000001</v>
      </c>
      <c r="L11" s="8">
        <v>0.56520000000000004</v>
      </c>
      <c r="M11" s="8">
        <v>1.5900000000000001E-2</v>
      </c>
      <c r="N11" s="12" t="str">
        <f t="shared" si="1"/>
        <v>54.3 (52.1 ~ 56.5)</v>
      </c>
      <c r="O11" s="8">
        <v>0.5776</v>
      </c>
      <c r="P11" s="8">
        <v>0.55589999999999995</v>
      </c>
      <c r="Q11" s="8">
        <v>0.59930000000000005</v>
      </c>
      <c r="R11" s="8">
        <v>1.5599999999999999E-2</v>
      </c>
      <c r="S11" s="12" t="str">
        <f t="shared" si="2"/>
        <v>57.8 (55.6 ~ 59.9)</v>
      </c>
      <c r="T11" s="8">
        <v>0.77410000000000001</v>
      </c>
      <c r="U11" s="8">
        <v>0.74919999999999998</v>
      </c>
      <c r="V11" s="8">
        <v>0.79910000000000003</v>
      </c>
      <c r="W11" s="8">
        <v>1.7999999999999999E-2</v>
      </c>
      <c r="X11" s="12" t="str">
        <f t="shared" si="3"/>
        <v>77.4 (74.9 ~ 79.9)</v>
      </c>
      <c r="Y11" s="8">
        <v>0.62370000000000003</v>
      </c>
      <c r="Z11" s="8">
        <v>0.59950000000000003</v>
      </c>
      <c r="AA11" s="8">
        <v>0.64780000000000004</v>
      </c>
      <c r="AB11" s="8">
        <v>1.7399999999999999E-2</v>
      </c>
      <c r="AC11" s="12" t="str">
        <f t="shared" si="4"/>
        <v>62.4 (60 ~ 64.8)</v>
      </c>
    </row>
    <row r="12" spans="1:33" x14ac:dyDescent="0.25">
      <c r="A12" s="8" t="s">
        <v>202</v>
      </c>
      <c r="B12" s="8" t="s">
        <v>124</v>
      </c>
      <c r="C12" s="8" t="s">
        <v>184</v>
      </c>
      <c r="D12" s="8">
        <v>5</v>
      </c>
      <c r="E12" s="8">
        <v>0.66859999999999997</v>
      </c>
      <c r="F12" s="8">
        <v>0.6542</v>
      </c>
      <c r="G12" s="8">
        <v>0.68300000000000005</v>
      </c>
      <c r="H12" s="8">
        <v>1.04E-2</v>
      </c>
      <c r="I12" s="12" t="str">
        <f t="shared" si="0"/>
        <v>66.9 (65.4 ~ 68.3)</v>
      </c>
      <c r="J12" s="8">
        <v>0.55400000000000005</v>
      </c>
      <c r="K12" s="8">
        <v>0.53100000000000003</v>
      </c>
      <c r="L12" s="8">
        <v>0.57689999999999997</v>
      </c>
      <c r="M12" s="8">
        <v>1.66E-2</v>
      </c>
      <c r="N12" s="12" t="str">
        <f t="shared" si="1"/>
        <v>55.4 (53.1 ~ 57.7)</v>
      </c>
      <c r="O12" s="8">
        <v>0.6341</v>
      </c>
      <c r="P12" s="8">
        <v>0.61970000000000003</v>
      </c>
      <c r="Q12" s="8">
        <v>0.64859999999999995</v>
      </c>
      <c r="R12" s="8">
        <v>1.04E-2</v>
      </c>
      <c r="S12" s="12" t="str">
        <f t="shared" si="2"/>
        <v>63.4 (62 ~ 64.9)</v>
      </c>
      <c r="T12" s="8">
        <v>0.78659999999999997</v>
      </c>
      <c r="U12" s="8">
        <v>0.7621</v>
      </c>
      <c r="V12" s="8">
        <v>0.81110000000000004</v>
      </c>
      <c r="W12" s="8">
        <v>1.7600000000000001E-2</v>
      </c>
      <c r="X12" s="12" t="str">
        <f t="shared" si="3"/>
        <v>78.7 (76.2 ~ 81.1)</v>
      </c>
      <c r="Y12" s="8">
        <v>0.61839999999999995</v>
      </c>
      <c r="Z12" s="8">
        <v>0.5897</v>
      </c>
      <c r="AA12" s="8">
        <v>0.6472</v>
      </c>
      <c r="AB12" s="8">
        <v>2.07E-2</v>
      </c>
      <c r="AC12" s="12" t="str">
        <f t="shared" si="4"/>
        <v>61.8 (59 ~ 64.7)</v>
      </c>
    </row>
    <row r="13" spans="1:33" x14ac:dyDescent="0.25">
      <c r="A13" s="8" t="s">
        <v>202</v>
      </c>
      <c r="B13" s="8" t="s">
        <v>124</v>
      </c>
      <c r="C13" s="8" t="s">
        <v>182</v>
      </c>
      <c r="D13" s="8">
        <v>5</v>
      </c>
      <c r="E13" s="8">
        <v>0.64100000000000001</v>
      </c>
      <c r="F13" s="8">
        <v>0.57569999999999999</v>
      </c>
      <c r="G13" s="8">
        <v>0.70630000000000004</v>
      </c>
      <c r="H13" s="8">
        <v>4.7E-2</v>
      </c>
      <c r="I13" s="12" t="str">
        <f t="shared" si="0"/>
        <v>64.1 (57.6 ~ 70.6)</v>
      </c>
      <c r="J13" s="8">
        <v>0.56589999999999996</v>
      </c>
      <c r="K13" s="8">
        <v>0.52580000000000005</v>
      </c>
      <c r="L13" s="8">
        <v>0.60599999999999998</v>
      </c>
      <c r="M13" s="8">
        <v>2.8899999999999999E-2</v>
      </c>
      <c r="N13" s="12" t="str">
        <f t="shared" si="1"/>
        <v>56.6 (52.6 ~ 60.6)</v>
      </c>
      <c r="O13" s="8">
        <v>0.62680000000000002</v>
      </c>
      <c r="P13" s="8">
        <v>0.57030000000000003</v>
      </c>
      <c r="Q13" s="8">
        <v>0.68330000000000002</v>
      </c>
      <c r="R13" s="8">
        <v>4.07E-2</v>
      </c>
      <c r="S13" s="12" t="str">
        <f t="shared" si="2"/>
        <v>62.7 (57 ~ 68.3)</v>
      </c>
      <c r="T13" s="8">
        <v>0.78249999999999997</v>
      </c>
      <c r="U13" s="8">
        <v>0.74790000000000001</v>
      </c>
      <c r="V13" s="8">
        <v>0.81699999999999995</v>
      </c>
      <c r="W13" s="8">
        <v>2.4899999999999999E-2</v>
      </c>
      <c r="X13" s="12" t="str">
        <f t="shared" si="3"/>
        <v>78.3 (74.8 ~ 81.7)</v>
      </c>
      <c r="Y13" s="8">
        <v>0.62739999999999996</v>
      </c>
      <c r="Z13" s="8">
        <v>0.59450000000000003</v>
      </c>
      <c r="AA13" s="8">
        <v>0.66020000000000001</v>
      </c>
      <c r="AB13" s="8">
        <v>2.3699999999999999E-2</v>
      </c>
      <c r="AC13" s="12" t="str">
        <f t="shared" si="4"/>
        <v>62.7 (59.5 ~ 66)</v>
      </c>
    </row>
    <row r="14" spans="1:33" x14ac:dyDescent="0.25">
      <c r="A14" s="8" t="s">
        <v>204</v>
      </c>
      <c r="B14" s="8" t="s">
        <v>185</v>
      </c>
      <c r="C14" s="8" t="s">
        <v>183</v>
      </c>
      <c r="D14" s="8">
        <v>5</v>
      </c>
      <c r="E14" s="8">
        <v>0.69540000000000002</v>
      </c>
      <c r="F14" s="8">
        <v>0.65910000000000002</v>
      </c>
      <c r="G14" s="8">
        <v>0.73170000000000002</v>
      </c>
      <c r="H14" s="8">
        <v>2.6100000000000002E-2</v>
      </c>
      <c r="I14" s="12" t="str">
        <f t="shared" si="0"/>
        <v>69.5 (65.9 ~ 73.2)</v>
      </c>
      <c r="J14" s="8">
        <v>0.65569999999999995</v>
      </c>
      <c r="K14" s="8">
        <v>0.62180000000000002</v>
      </c>
      <c r="L14" s="8">
        <v>0.68959999999999999</v>
      </c>
      <c r="M14" s="8">
        <v>2.4400000000000002E-2</v>
      </c>
      <c r="N14" s="12" t="str">
        <f t="shared" si="1"/>
        <v>65.6 (62.2 ~ 69)</v>
      </c>
      <c r="O14" s="8">
        <v>0.70069999999999999</v>
      </c>
      <c r="P14" s="8">
        <v>0.66969999999999996</v>
      </c>
      <c r="Q14" s="8">
        <v>0.73170000000000002</v>
      </c>
      <c r="R14" s="8">
        <v>2.24E-2</v>
      </c>
      <c r="S14" s="12" t="str">
        <f t="shared" si="2"/>
        <v>70.1 (67 ~ 73.2)</v>
      </c>
      <c r="T14" s="8">
        <v>0.82479999999999998</v>
      </c>
      <c r="U14" s="8">
        <v>0.79800000000000004</v>
      </c>
      <c r="V14" s="8">
        <v>0.85160000000000002</v>
      </c>
      <c r="W14" s="8">
        <v>1.9300000000000001E-2</v>
      </c>
      <c r="X14" s="12" t="str">
        <f t="shared" si="3"/>
        <v>82.5 (79.8 ~ 85.2)</v>
      </c>
      <c r="Y14" s="8">
        <v>0.68540000000000001</v>
      </c>
      <c r="Z14" s="8">
        <v>0.6391</v>
      </c>
      <c r="AA14" s="8">
        <v>0.73170000000000002</v>
      </c>
      <c r="AB14" s="8">
        <v>3.3300000000000003E-2</v>
      </c>
      <c r="AC14" s="12" t="str">
        <f t="shared" si="4"/>
        <v>68.5 (63.9 ~ 73.2)</v>
      </c>
    </row>
    <row r="15" spans="1:33" x14ac:dyDescent="0.25">
      <c r="A15" s="8" t="s">
        <v>204</v>
      </c>
      <c r="B15" s="8" t="s">
        <v>185</v>
      </c>
      <c r="C15" s="8" t="s">
        <v>184</v>
      </c>
      <c r="D15" s="8">
        <v>5</v>
      </c>
      <c r="E15" s="8">
        <v>0.69369999999999998</v>
      </c>
      <c r="F15" s="8">
        <v>0.66659999999999997</v>
      </c>
      <c r="G15" s="8">
        <v>0.7208</v>
      </c>
      <c r="H15" s="8">
        <v>1.95E-2</v>
      </c>
      <c r="I15" s="12" t="str">
        <f t="shared" si="0"/>
        <v>69.4 (66.7 ~ 72.1)</v>
      </c>
      <c r="J15" s="8">
        <v>0.56489999999999996</v>
      </c>
      <c r="K15" s="8">
        <v>0.5484</v>
      </c>
      <c r="L15" s="8">
        <v>0.58150000000000002</v>
      </c>
      <c r="M15" s="8">
        <v>1.1900000000000001E-2</v>
      </c>
      <c r="N15" s="12" t="str">
        <f t="shared" si="1"/>
        <v>56.5 (54.8 ~ 58.2)</v>
      </c>
      <c r="O15" s="8">
        <v>0.64859999999999995</v>
      </c>
      <c r="P15" s="8">
        <v>0.62739999999999996</v>
      </c>
      <c r="Q15" s="8">
        <v>0.66990000000000005</v>
      </c>
      <c r="R15" s="8">
        <v>1.5299999999999999E-2</v>
      </c>
      <c r="S15" s="12" t="str">
        <f t="shared" si="2"/>
        <v>64.9 (62.7 ~ 67)</v>
      </c>
      <c r="T15" s="8">
        <v>0.79600000000000004</v>
      </c>
      <c r="U15" s="8">
        <v>0.77800000000000002</v>
      </c>
      <c r="V15" s="8">
        <v>0.81389999999999996</v>
      </c>
      <c r="W15" s="8">
        <v>1.2999999999999999E-2</v>
      </c>
      <c r="X15" s="12" t="str">
        <f t="shared" si="3"/>
        <v>79.6 (77.8 ~ 81.4)</v>
      </c>
      <c r="Y15" s="8">
        <v>0.64039999999999997</v>
      </c>
      <c r="Z15" s="8">
        <v>0.60750000000000004</v>
      </c>
      <c r="AA15" s="8">
        <v>0.67320000000000002</v>
      </c>
      <c r="AB15" s="8">
        <v>2.3699999999999999E-2</v>
      </c>
      <c r="AC15" s="12" t="str">
        <f t="shared" si="4"/>
        <v>64 (60.8 ~ 67.3)</v>
      </c>
    </row>
    <row r="16" spans="1:33" x14ac:dyDescent="0.25">
      <c r="A16" s="8" t="s">
        <v>204</v>
      </c>
      <c r="B16" s="8" t="s">
        <v>185</v>
      </c>
      <c r="C16" s="8" t="s">
        <v>182</v>
      </c>
      <c r="D16" s="8">
        <v>5</v>
      </c>
      <c r="E16" s="8">
        <v>0.70960000000000001</v>
      </c>
      <c r="F16" s="8">
        <v>0.68100000000000005</v>
      </c>
      <c r="G16" s="8">
        <v>0.73819999999999997</v>
      </c>
      <c r="H16" s="8">
        <v>2.06E-2</v>
      </c>
      <c r="I16" s="12" t="str">
        <f t="shared" si="0"/>
        <v>71 (68.1 ~ 73.8)</v>
      </c>
      <c r="J16" s="8">
        <v>0.6018</v>
      </c>
      <c r="K16" s="8">
        <v>0.55549999999999999</v>
      </c>
      <c r="L16" s="8">
        <v>0.64810000000000001</v>
      </c>
      <c r="M16" s="8">
        <v>3.3399999999999999E-2</v>
      </c>
      <c r="N16" s="12" t="str">
        <f t="shared" si="1"/>
        <v>60.2 (55.6 ~ 64.8)</v>
      </c>
      <c r="O16" s="8">
        <v>0.67559999999999998</v>
      </c>
      <c r="P16" s="8">
        <v>0.64249999999999996</v>
      </c>
      <c r="Q16" s="8">
        <v>0.7087</v>
      </c>
      <c r="R16" s="8">
        <v>2.3800000000000002E-2</v>
      </c>
      <c r="S16" s="12" t="str">
        <f t="shared" si="2"/>
        <v>67.6 (64.3 ~ 70.9)</v>
      </c>
      <c r="T16" s="8">
        <v>0.81830000000000003</v>
      </c>
      <c r="U16" s="8">
        <v>0.79690000000000005</v>
      </c>
      <c r="V16" s="8">
        <v>0.83979999999999999</v>
      </c>
      <c r="W16" s="8">
        <v>1.55E-2</v>
      </c>
      <c r="X16" s="12" t="str">
        <f t="shared" si="3"/>
        <v>81.8 (79.7 ~ 84)</v>
      </c>
      <c r="Y16" s="8">
        <v>0.66969999999999996</v>
      </c>
      <c r="Z16" s="8">
        <v>0.63549999999999995</v>
      </c>
      <c r="AA16" s="8">
        <v>0.70399999999999996</v>
      </c>
      <c r="AB16" s="8">
        <v>2.47E-2</v>
      </c>
      <c r="AC16" s="12" t="str">
        <f t="shared" si="4"/>
        <v>67 (63.6 ~ 70.4)</v>
      </c>
    </row>
    <row r="17" spans="1:29" x14ac:dyDescent="0.25">
      <c r="A17" s="8" t="s">
        <v>204</v>
      </c>
      <c r="B17" s="8" t="s">
        <v>124</v>
      </c>
      <c r="C17" s="8" t="s">
        <v>183</v>
      </c>
      <c r="D17" s="8">
        <v>5</v>
      </c>
      <c r="E17" s="8">
        <v>0.5716</v>
      </c>
      <c r="F17" s="8">
        <v>0.51480000000000004</v>
      </c>
      <c r="G17" s="8">
        <v>0.62829999999999997</v>
      </c>
      <c r="H17" s="8">
        <v>4.0899999999999999E-2</v>
      </c>
      <c r="I17" s="12" t="str">
        <f t="shared" si="0"/>
        <v>57.2 (51.5 ~ 62.8)</v>
      </c>
      <c r="J17" s="8">
        <v>0.55169999999999997</v>
      </c>
      <c r="K17" s="8">
        <v>0.49390000000000001</v>
      </c>
      <c r="L17" s="8">
        <v>0.60950000000000004</v>
      </c>
      <c r="M17" s="8">
        <v>4.1599999999999998E-2</v>
      </c>
      <c r="N17" s="12" t="str">
        <f t="shared" si="1"/>
        <v>55.2 (49.4 ~ 61)</v>
      </c>
      <c r="O17" s="8">
        <v>0.5877</v>
      </c>
      <c r="P17" s="8">
        <v>0.51759999999999995</v>
      </c>
      <c r="Q17" s="8">
        <v>0.65790000000000004</v>
      </c>
      <c r="R17" s="8">
        <v>5.0500000000000003E-2</v>
      </c>
      <c r="S17" s="12" t="str">
        <f t="shared" si="2"/>
        <v>58.8 (51.8 ~ 65.8)</v>
      </c>
      <c r="T17" s="8">
        <v>0.78480000000000005</v>
      </c>
      <c r="U17" s="8">
        <v>0.75319999999999998</v>
      </c>
      <c r="V17" s="8">
        <v>0.81630000000000003</v>
      </c>
      <c r="W17" s="8">
        <v>2.2700000000000001E-2</v>
      </c>
      <c r="X17" s="12" t="str">
        <f t="shared" si="3"/>
        <v>78.5 (75.3 ~ 81.6)</v>
      </c>
      <c r="Y17" s="8">
        <v>0.62980000000000003</v>
      </c>
      <c r="Z17" s="8">
        <v>0.59570000000000001</v>
      </c>
      <c r="AA17" s="8">
        <v>0.66400000000000003</v>
      </c>
      <c r="AB17" s="8">
        <v>2.46E-2</v>
      </c>
      <c r="AC17" s="12" t="str">
        <f t="shared" si="4"/>
        <v>63 (59.6 ~ 66.4)</v>
      </c>
    </row>
    <row r="18" spans="1:29" x14ac:dyDescent="0.25">
      <c r="A18" s="8" t="s">
        <v>204</v>
      </c>
      <c r="B18" s="8" t="s">
        <v>124</v>
      </c>
      <c r="C18" s="8" t="s">
        <v>184</v>
      </c>
      <c r="D18" s="8">
        <v>5</v>
      </c>
      <c r="E18" s="8">
        <v>0.66779999999999995</v>
      </c>
      <c r="F18" s="8">
        <v>0.63229999999999997</v>
      </c>
      <c r="G18" s="8">
        <v>0.70330000000000004</v>
      </c>
      <c r="H18" s="8">
        <v>2.5600000000000001E-2</v>
      </c>
      <c r="I18" s="12" t="str">
        <f t="shared" si="0"/>
        <v>66.8 (63.2 ~ 70.3)</v>
      </c>
      <c r="J18" s="8">
        <v>0.55289999999999995</v>
      </c>
      <c r="K18" s="8">
        <v>0.4985</v>
      </c>
      <c r="L18" s="8">
        <v>0.60729999999999995</v>
      </c>
      <c r="M18" s="8">
        <v>3.9199999999999999E-2</v>
      </c>
      <c r="N18" s="12" t="str">
        <f t="shared" si="1"/>
        <v>55.3 (49.9 ~ 60.7)</v>
      </c>
      <c r="O18" s="8">
        <v>0.63129999999999997</v>
      </c>
      <c r="P18" s="8">
        <v>0.5857</v>
      </c>
      <c r="Q18" s="8">
        <v>0.67679999999999996</v>
      </c>
      <c r="R18" s="8">
        <v>3.2800000000000003E-2</v>
      </c>
      <c r="S18" s="12" t="str">
        <f t="shared" si="2"/>
        <v>63.1 (58.6 ~ 67.7)</v>
      </c>
      <c r="T18" s="8">
        <v>0.79079999999999995</v>
      </c>
      <c r="U18" s="8">
        <v>0.75939999999999996</v>
      </c>
      <c r="V18" s="8">
        <v>0.82220000000000004</v>
      </c>
      <c r="W18" s="8">
        <v>2.2599999999999999E-2</v>
      </c>
      <c r="X18" s="12" t="str">
        <f t="shared" si="3"/>
        <v>79.1 (75.9 ~ 82.2)</v>
      </c>
      <c r="Y18" s="8">
        <v>0.62529999999999997</v>
      </c>
      <c r="Z18" s="8">
        <v>0.58809999999999996</v>
      </c>
      <c r="AA18" s="8">
        <v>0.66249999999999998</v>
      </c>
      <c r="AB18" s="8">
        <v>2.6800000000000001E-2</v>
      </c>
      <c r="AC18" s="12" t="str">
        <f t="shared" si="4"/>
        <v>62.5 (58.8 ~ 66.3)</v>
      </c>
    </row>
    <row r="19" spans="1:29" x14ac:dyDescent="0.25">
      <c r="A19" s="8" t="s">
        <v>204</v>
      </c>
      <c r="B19" s="8" t="s">
        <v>124</v>
      </c>
      <c r="C19" s="8" t="s">
        <v>182</v>
      </c>
      <c r="D19" s="8">
        <v>5</v>
      </c>
      <c r="E19" s="8">
        <v>0.66190000000000004</v>
      </c>
      <c r="F19" s="8">
        <v>0.57789999999999997</v>
      </c>
      <c r="G19" s="8">
        <v>0.74590000000000001</v>
      </c>
      <c r="H19" s="8">
        <v>6.0499999999999998E-2</v>
      </c>
      <c r="I19" s="12" t="str">
        <f t="shared" si="0"/>
        <v>66.2 (57.8 ~ 74.6)</v>
      </c>
      <c r="J19" s="8">
        <v>0.59409999999999996</v>
      </c>
      <c r="K19" s="8">
        <v>0.53359999999999996</v>
      </c>
      <c r="L19" s="8">
        <v>0.65459999999999996</v>
      </c>
      <c r="M19" s="8">
        <v>4.36E-2</v>
      </c>
      <c r="N19" s="12" t="str">
        <f t="shared" si="1"/>
        <v>59.4 (53.4 ~ 65.5)</v>
      </c>
      <c r="O19" s="8">
        <v>0.65039999999999998</v>
      </c>
      <c r="P19" s="8">
        <v>0.57820000000000005</v>
      </c>
      <c r="Q19" s="8">
        <v>0.72270000000000001</v>
      </c>
      <c r="R19" s="8">
        <v>5.1999999999999998E-2</v>
      </c>
      <c r="S19" s="12" t="str">
        <f t="shared" si="2"/>
        <v>65 (57.8 ~ 72.3)</v>
      </c>
      <c r="T19" s="8">
        <v>0.79339999999999999</v>
      </c>
      <c r="U19" s="8">
        <v>0.75539999999999996</v>
      </c>
      <c r="V19" s="8">
        <v>0.83140000000000003</v>
      </c>
      <c r="W19" s="8">
        <v>2.7400000000000001E-2</v>
      </c>
      <c r="X19" s="12" t="str">
        <f t="shared" si="3"/>
        <v>79.3 (75.5 ~ 83.1)</v>
      </c>
      <c r="Y19" s="8">
        <v>0.6391</v>
      </c>
      <c r="Z19" s="8">
        <v>0.59460000000000002</v>
      </c>
      <c r="AA19" s="8">
        <v>0.68359999999999999</v>
      </c>
      <c r="AB19" s="8">
        <v>3.2099999999999997E-2</v>
      </c>
      <c r="AC19" s="12" t="str">
        <f t="shared" si="4"/>
        <v>63.9 (59.5 ~ 68.4)</v>
      </c>
    </row>
    <row r="20" spans="1:29" x14ac:dyDescent="0.25">
      <c r="A20" s="8" t="s">
        <v>205</v>
      </c>
      <c r="B20" s="8" t="s">
        <v>185</v>
      </c>
      <c r="C20" s="8" t="s">
        <v>183</v>
      </c>
      <c r="D20" s="8">
        <v>5</v>
      </c>
      <c r="E20" s="8">
        <v>0.67779999999999996</v>
      </c>
      <c r="F20" s="8">
        <v>0.65</v>
      </c>
      <c r="G20" s="8">
        <v>0.7056</v>
      </c>
      <c r="H20" s="8">
        <v>0.02</v>
      </c>
      <c r="I20" s="12" t="str">
        <f t="shared" si="0"/>
        <v>67.8 (65 ~ 70.6)</v>
      </c>
      <c r="J20" s="8">
        <v>0.64070000000000005</v>
      </c>
      <c r="K20" s="8">
        <v>0.61370000000000002</v>
      </c>
      <c r="L20" s="8">
        <v>0.66769999999999996</v>
      </c>
      <c r="M20" s="8">
        <v>1.95E-2</v>
      </c>
      <c r="N20" s="12" t="str">
        <f t="shared" si="1"/>
        <v>64.1 (61.4 ~ 66.8)</v>
      </c>
      <c r="O20" s="8">
        <v>0.68600000000000005</v>
      </c>
      <c r="P20" s="8">
        <v>0.66190000000000004</v>
      </c>
      <c r="Q20" s="8">
        <v>0.71020000000000005</v>
      </c>
      <c r="R20" s="8">
        <v>1.7399999999999999E-2</v>
      </c>
      <c r="S20" s="12" t="str">
        <f t="shared" si="2"/>
        <v>68.6 (66.2 ~ 71)</v>
      </c>
      <c r="T20" s="8">
        <v>0.81840000000000002</v>
      </c>
      <c r="U20" s="8">
        <v>0.79579999999999995</v>
      </c>
      <c r="V20" s="8">
        <v>0.84089999999999998</v>
      </c>
      <c r="W20" s="8">
        <v>1.6199999999999999E-2</v>
      </c>
      <c r="X20" s="12" t="str">
        <f t="shared" si="3"/>
        <v>81.8 (79.6 ~ 84.1)</v>
      </c>
      <c r="Y20" s="8">
        <v>0.67069999999999996</v>
      </c>
      <c r="Z20" s="8">
        <v>0.62809999999999999</v>
      </c>
      <c r="AA20" s="8">
        <v>0.71319999999999995</v>
      </c>
      <c r="AB20" s="8">
        <v>3.0599999999999999E-2</v>
      </c>
      <c r="AC20" s="12" t="str">
        <f t="shared" si="4"/>
        <v>67.1 (62.8 ~ 71.3)</v>
      </c>
    </row>
    <row r="21" spans="1:29" x14ac:dyDescent="0.25">
      <c r="A21" s="8" t="s">
        <v>205</v>
      </c>
      <c r="B21" s="8" t="s">
        <v>185</v>
      </c>
      <c r="C21" s="8" t="s">
        <v>184</v>
      </c>
      <c r="D21" s="8">
        <v>5</v>
      </c>
      <c r="E21" s="8">
        <v>0.70379999999999998</v>
      </c>
      <c r="F21" s="8">
        <v>0.67989999999999995</v>
      </c>
      <c r="G21" s="8">
        <v>0.72770000000000001</v>
      </c>
      <c r="H21" s="8">
        <v>1.72E-2</v>
      </c>
      <c r="I21" s="12" t="str">
        <f t="shared" si="0"/>
        <v>70.4 (68 ~ 72.8)</v>
      </c>
      <c r="J21" s="8">
        <v>0.57079999999999997</v>
      </c>
      <c r="K21" s="8">
        <v>0.53169999999999995</v>
      </c>
      <c r="L21" s="8">
        <v>0.6099</v>
      </c>
      <c r="M21" s="8">
        <v>2.8199999999999999E-2</v>
      </c>
      <c r="N21" s="12" t="str">
        <f t="shared" si="1"/>
        <v>57.1 (53.2 ~ 61)</v>
      </c>
      <c r="O21" s="8">
        <v>0.65539999999999998</v>
      </c>
      <c r="P21" s="8">
        <v>0.62760000000000005</v>
      </c>
      <c r="Q21" s="8">
        <v>0.68310000000000004</v>
      </c>
      <c r="R21" s="8">
        <v>0.02</v>
      </c>
      <c r="S21" s="12" t="str">
        <f t="shared" si="2"/>
        <v>65.5 (62.8 ~ 68.3)</v>
      </c>
      <c r="T21" s="8">
        <v>0.78790000000000004</v>
      </c>
      <c r="U21" s="8">
        <v>0.76500000000000001</v>
      </c>
      <c r="V21" s="8">
        <v>0.81079999999999997</v>
      </c>
      <c r="W21" s="8">
        <v>1.6500000000000001E-2</v>
      </c>
      <c r="X21" s="12" t="str">
        <f t="shared" si="3"/>
        <v>78.8 (76.5 ~ 81.1)</v>
      </c>
      <c r="Y21" s="8">
        <v>0.64100000000000001</v>
      </c>
      <c r="Z21" s="8">
        <v>0.60509999999999997</v>
      </c>
      <c r="AA21" s="8">
        <v>0.67679999999999996</v>
      </c>
      <c r="AB21" s="8">
        <v>2.58E-2</v>
      </c>
      <c r="AC21" s="12" t="str">
        <f t="shared" si="4"/>
        <v>64.1 (60.5 ~ 67.7)</v>
      </c>
    </row>
    <row r="22" spans="1:29" x14ac:dyDescent="0.25">
      <c r="A22" s="8" t="s">
        <v>205</v>
      </c>
      <c r="B22" s="8" t="s">
        <v>185</v>
      </c>
      <c r="C22" s="8" t="s">
        <v>182</v>
      </c>
      <c r="D22" s="8">
        <v>5</v>
      </c>
      <c r="E22" s="8">
        <v>0.71209999999999996</v>
      </c>
      <c r="F22" s="8">
        <v>0.68710000000000004</v>
      </c>
      <c r="G22" s="8">
        <v>0.73709999999999998</v>
      </c>
      <c r="H22" s="8">
        <v>1.7999999999999999E-2</v>
      </c>
      <c r="I22" s="12" t="str">
        <f t="shared" si="0"/>
        <v>71.2 (68.7 ~ 73.7)</v>
      </c>
      <c r="J22" s="8">
        <v>0.59550000000000003</v>
      </c>
      <c r="K22" s="8">
        <v>0.57179999999999997</v>
      </c>
      <c r="L22" s="8">
        <v>0.61919999999999997</v>
      </c>
      <c r="M22" s="8">
        <v>1.7100000000000001E-2</v>
      </c>
      <c r="N22" s="12" t="str">
        <f t="shared" si="1"/>
        <v>59.6 (57.2 ~ 61.9)</v>
      </c>
      <c r="O22" s="8">
        <v>0.67279999999999995</v>
      </c>
      <c r="P22" s="8">
        <v>0.65259999999999996</v>
      </c>
      <c r="Q22" s="8">
        <v>0.69289999999999996</v>
      </c>
      <c r="R22" s="8">
        <v>1.4500000000000001E-2</v>
      </c>
      <c r="S22" s="12" t="str">
        <f t="shared" si="2"/>
        <v>67.3 (65.3 ~ 69.3)</v>
      </c>
      <c r="T22" s="8">
        <v>0.81659999999999999</v>
      </c>
      <c r="U22" s="8">
        <v>0.80589999999999995</v>
      </c>
      <c r="V22" s="8">
        <v>0.82740000000000002</v>
      </c>
      <c r="W22" s="8">
        <v>7.7999999999999996E-3</v>
      </c>
      <c r="X22" s="12" t="str">
        <f t="shared" si="3"/>
        <v>81.7 (80.6 ~ 82.7)</v>
      </c>
      <c r="Y22" s="8">
        <v>0.67330000000000001</v>
      </c>
      <c r="Z22" s="8">
        <v>0.65700000000000003</v>
      </c>
      <c r="AA22" s="8">
        <v>0.68959999999999999</v>
      </c>
      <c r="AB22" s="8">
        <v>1.17E-2</v>
      </c>
      <c r="AC22" s="12" t="str">
        <f t="shared" si="4"/>
        <v>67.3 (65.7 ~ 69)</v>
      </c>
    </row>
    <row r="23" spans="1:29" x14ac:dyDescent="0.25">
      <c r="A23" s="8" t="s">
        <v>205</v>
      </c>
      <c r="B23" s="8" t="s">
        <v>124</v>
      </c>
      <c r="C23" s="8" t="s">
        <v>183</v>
      </c>
      <c r="D23" s="8">
        <v>5</v>
      </c>
      <c r="E23" s="8">
        <v>0.59</v>
      </c>
      <c r="F23" s="8">
        <v>0.55730000000000002</v>
      </c>
      <c r="G23" s="8">
        <v>0.62260000000000004</v>
      </c>
      <c r="H23" s="8">
        <v>2.35E-2</v>
      </c>
      <c r="I23" s="12" t="str">
        <f t="shared" si="0"/>
        <v>59 (55.7 ~ 62.3)</v>
      </c>
      <c r="J23" s="8">
        <v>0.56850000000000001</v>
      </c>
      <c r="K23" s="8">
        <v>0.53659999999999997</v>
      </c>
      <c r="L23" s="8">
        <v>0.60040000000000004</v>
      </c>
      <c r="M23" s="8">
        <v>2.29E-2</v>
      </c>
      <c r="N23" s="12" t="str">
        <f t="shared" si="1"/>
        <v>56.9 (53.7 ~ 60)</v>
      </c>
      <c r="O23" s="8">
        <v>0.60729999999999995</v>
      </c>
      <c r="P23" s="8">
        <v>0.57410000000000005</v>
      </c>
      <c r="Q23" s="8">
        <v>0.64039999999999997</v>
      </c>
      <c r="R23" s="8">
        <v>2.3900000000000001E-2</v>
      </c>
      <c r="S23" s="12" t="str">
        <f t="shared" si="2"/>
        <v>60.7 (57.4 ~ 64)</v>
      </c>
      <c r="T23" s="8">
        <v>0.78110000000000002</v>
      </c>
      <c r="U23" s="8">
        <v>0.75660000000000005</v>
      </c>
      <c r="V23" s="8">
        <v>0.80569999999999997</v>
      </c>
      <c r="W23" s="8">
        <v>1.77E-2</v>
      </c>
      <c r="X23" s="12" t="str">
        <f t="shared" si="3"/>
        <v>78.1 (75.7 ~ 80.6)</v>
      </c>
      <c r="Y23" s="8">
        <v>0.62870000000000004</v>
      </c>
      <c r="Z23" s="8">
        <v>0.60329999999999995</v>
      </c>
      <c r="AA23" s="8">
        <v>0.65410000000000001</v>
      </c>
      <c r="AB23" s="8">
        <v>1.83E-2</v>
      </c>
      <c r="AC23" s="12" t="str">
        <f t="shared" si="4"/>
        <v>62.9 (60.3 ~ 65.4)</v>
      </c>
    </row>
    <row r="24" spans="1:29" x14ac:dyDescent="0.25">
      <c r="A24" s="8" t="s">
        <v>205</v>
      </c>
      <c r="B24" s="8" t="s">
        <v>124</v>
      </c>
      <c r="C24" s="8" t="s">
        <v>184</v>
      </c>
      <c r="D24" s="8">
        <v>5</v>
      </c>
      <c r="E24" s="8">
        <v>0.68120000000000003</v>
      </c>
      <c r="F24" s="8">
        <v>0.66720000000000002</v>
      </c>
      <c r="G24" s="8">
        <v>0.69510000000000005</v>
      </c>
      <c r="H24" s="8">
        <v>0.01</v>
      </c>
      <c r="I24" s="12" t="str">
        <f t="shared" si="0"/>
        <v>68.1 (66.7 ~ 69.5)</v>
      </c>
      <c r="J24" s="8">
        <v>0.57809999999999995</v>
      </c>
      <c r="K24" s="8">
        <v>0.53049999999999997</v>
      </c>
      <c r="L24" s="8">
        <v>0.62580000000000002</v>
      </c>
      <c r="M24" s="8">
        <v>3.4299999999999997E-2</v>
      </c>
      <c r="N24" s="12" t="str">
        <f t="shared" si="1"/>
        <v>57.8 (53.1 ~ 62.6)</v>
      </c>
      <c r="O24" s="8">
        <v>0.65139999999999998</v>
      </c>
      <c r="P24" s="8">
        <v>0.62350000000000005</v>
      </c>
      <c r="Q24" s="8">
        <v>0.6794</v>
      </c>
      <c r="R24" s="8">
        <v>2.01E-2</v>
      </c>
      <c r="S24" s="12" t="str">
        <f t="shared" si="2"/>
        <v>65.1 (62.4 ~ 67.9)</v>
      </c>
      <c r="T24" s="8">
        <v>0.78129999999999999</v>
      </c>
      <c r="U24" s="8">
        <v>0.75960000000000005</v>
      </c>
      <c r="V24" s="8">
        <v>0.80310000000000004</v>
      </c>
      <c r="W24" s="8">
        <v>1.5699999999999999E-2</v>
      </c>
      <c r="X24" s="12" t="str">
        <f t="shared" si="3"/>
        <v>78.1 (76 ~ 80.3)</v>
      </c>
      <c r="Y24" s="8">
        <v>0.61739999999999995</v>
      </c>
      <c r="Z24" s="8">
        <v>0.58740000000000003</v>
      </c>
      <c r="AA24" s="8">
        <v>0.64729999999999999</v>
      </c>
      <c r="AB24" s="8">
        <v>2.1600000000000001E-2</v>
      </c>
      <c r="AC24" s="12" t="str">
        <f t="shared" si="4"/>
        <v>61.7 (58.7 ~ 64.7)</v>
      </c>
    </row>
    <row r="25" spans="1:29" x14ac:dyDescent="0.25">
      <c r="A25" s="8" t="s">
        <v>205</v>
      </c>
      <c r="B25" s="8" t="s">
        <v>124</v>
      </c>
      <c r="C25" s="8" t="s">
        <v>182</v>
      </c>
      <c r="D25" s="8">
        <v>5</v>
      </c>
      <c r="E25" s="8">
        <v>0.6452</v>
      </c>
      <c r="F25" s="8">
        <v>0.53959999999999997</v>
      </c>
      <c r="G25" s="8">
        <v>0.75070000000000003</v>
      </c>
      <c r="H25" s="8">
        <v>7.5999999999999998E-2</v>
      </c>
      <c r="I25" s="12" t="str">
        <f t="shared" si="0"/>
        <v>64.5 (54 ~ 75.1)</v>
      </c>
      <c r="J25" s="8">
        <v>0.57310000000000005</v>
      </c>
      <c r="K25" s="8">
        <v>0.49959999999999999</v>
      </c>
      <c r="L25" s="8">
        <v>0.64659999999999995</v>
      </c>
      <c r="M25" s="8">
        <v>5.2999999999999999E-2</v>
      </c>
      <c r="N25" s="12" t="str">
        <f t="shared" si="1"/>
        <v>57.3 (50 ~ 64.7)</v>
      </c>
      <c r="O25" s="8">
        <v>0.63149999999999995</v>
      </c>
      <c r="P25" s="8">
        <v>0.53969999999999996</v>
      </c>
      <c r="Q25" s="8">
        <v>0.72330000000000005</v>
      </c>
      <c r="R25" s="8">
        <v>6.6100000000000006E-2</v>
      </c>
      <c r="S25" s="12" t="str">
        <f t="shared" si="2"/>
        <v>63.2 (54 ~ 72.3)</v>
      </c>
      <c r="T25" s="8">
        <v>0.77949999999999997</v>
      </c>
      <c r="U25" s="8">
        <v>0.73699999999999999</v>
      </c>
      <c r="V25" s="8">
        <v>0.82189999999999996</v>
      </c>
      <c r="W25" s="8">
        <v>3.0599999999999999E-2</v>
      </c>
      <c r="X25" s="12" t="str">
        <f t="shared" si="3"/>
        <v>78 (73.7 ~ 82.2)</v>
      </c>
      <c r="Y25" s="8">
        <v>0.63080000000000003</v>
      </c>
      <c r="Z25" s="8">
        <v>0.58120000000000005</v>
      </c>
      <c r="AA25" s="8">
        <v>0.68030000000000002</v>
      </c>
      <c r="AB25" s="8">
        <v>3.5700000000000003E-2</v>
      </c>
      <c r="AC25" s="12" t="str">
        <f t="shared" si="4"/>
        <v>63.1 (58.1 ~ 68)</v>
      </c>
    </row>
    <row r="26" spans="1:29" x14ac:dyDescent="0.25">
      <c r="A26" s="8" t="s">
        <v>206</v>
      </c>
      <c r="B26" s="8" t="s">
        <v>185</v>
      </c>
      <c r="C26" s="8" t="s">
        <v>183</v>
      </c>
      <c r="D26" s="8">
        <v>5</v>
      </c>
      <c r="E26" s="8">
        <v>0.68789999999999996</v>
      </c>
      <c r="F26" s="8">
        <v>0.65410000000000001</v>
      </c>
      <c r="G26" s="8">
        <v>0.72160000000000002</v>
      </c>
      <c r="H26" s="8">
        <v>2.4299999999999999E-2</v>
      </c>
      <c r="I26" s="12" t="str">
        <f t="shared" si="0"/>
        <v>68.8 (65.4 ~ 72.2)</v>
      </c>
      <c r="J26" s="8">
        <v>0.64629999999999999</v>
      </c>
      <c r="K26" s="8">
        <v>0.61129999999999995</v>
      </c>
      <c r="L26" s="8">
        <v>0.68130000000000002</v>
      </c>
      <c r="M26" s="8">
        <v>2.52E-2</v>
      </c>
      <c r="N26" s="12" t="str">
        <f t="shared" si="1"/>
        <v>64.6 (61.1 ~ 68.1)</v>
      </c>
      <c r="O26" s="8">
        <v>0.69420000000000004</v>
      </c>
      <c r="P26" s="8">
        <v>0.66010000000000002</v>
      </c>
      <c r="Q26" s="8">
        <v>0.72819999999999996</v>
      </c>
      <c r="R26" s="8">
        <v>2.4500000000000001E-2</v>
      </c>
      <c r="S26" s="12" t="str">
        <f t="shared" si="2"/>
        <v>69.4 (66 ~ 72.8)</v>
      </c>
      <c r="T26" s="8">
        <v>0.81969999999999998</v>
      </c>
      <c r="U26" s="8">
        <v>0.79090000000000005</v>
      </c>
      <c r="V26" s="8">
        <v>0.84850000000000003</v>
      </c>
      <c r="W26" s="8">
        <v>2.07E-2</v>
      </c>
      <c r="X26" s="12" t="str">
        <f t="shared" si="3"/>
        <v>82 (79.1 ~ 84.9)</v>
      </c>
      <c r="Y26" s="8">
        <v>0.67159999999999997</v>
      </c>
      <c r="Z26" s="8">
        <v>0.62429999999999997</v>
      </c>
      <c r="AA26" s="8">
        <v>0.71889999999999998</v>
      </c>
      <c r="AB26" s="8">
        <v>3.4099999999999998E-2</v>
      </c>
      <c r="AC26" s="12" t="str">
        <f t="shared" si="4"/>
        <v>67.2 (62.4 ~ 71.9)</v>
      </c>
    </row>
    <row r="27" spans="1:29" x14ac:dyDescent="0.25">
      <c r="A27" s="8" t="s">
        <v>206</v>
      </c>
      <c r="B27" s="8" t="s">
        <v>185</v>
      </c>
      <c r="C27" s="8" t="s">
        <v>184</v>
      </c>
      <c r="D27" s="8">
        <v>5</v>
      </c>
      <c r="E27" s="8">
        <v>0.71050000000000002</v>
      </c>
      <c r="F27" s="8">
        <v>0.69520000000000004</v>
      </c>
      <c r="G27" s="8">
        <v>0.7258</v>
      </c>
      <c r="H27" s="8">
        <v>1.0999999999999999E-2</v>
      </c>
      <c r="I27" s="12" t="str">
        <f t="shared" si="0"/>
        <v>71.1 (69.5 ~ 72.6)</v>
      </c>
      <c r="J27" s="8">
        <v>0.56479999999999997</v>
      </c>
      <c r="K27" s="8">
        <v>0.5494</v>
      </c>
      <c r="L27" s="8">
        <v>0.58020000000000005</v>
      </c>
      <c r="M27" s="8">
        <v>1.11E-2</v>
      </c>
      <c r="N27" s="12" t="str">
        <f t="shared" si="1"/>
        <v>56.5 (54.9 ~ 58)</v>
      </c>
      <c r="O27" s="8">
        <v>0.65680000000000005</v>
      </c>
      <c r="P27" s="8">
        <v>0.64390000000000003</v>
      </c>
      <c r="Q27" s="8">
        <v>0.66969999999999996</v>
      </c>
      <c r="R27" s="8">
        <v>9.2999999999999992E-3</v>
      </c>
      <c r="S27" s="12" t="str">
        <f t="shared" si="2"/>
        <v>65.7 (64.4 ~ 67)</v>
      </c>
      <c r="T27" s="8">
        <v>0.79569999999999996</v>
      </c>
      <c r="U27" s="8">
        <v>0.78449999999999998</v>
      </c>
      <c r="V27" s="8">
        <v>0.80689999999999995</v>
      </c>
      <c r="W27" s="8">
        <v>8.0999999999999996E-3</v>
      </c>
      <c r="X27" s="12" t="str">
        <f t="shared" si="3"/>
        <v>79.6 (78.5 ~ 80.7)</v>
      </c>
      <c r="Y27" s="8">
        <v>0.63990000000000002</v>
      </c>
      <c r="Z27" s="8">
        <v>0.62029999999999996</v>
      </c>
      <c r="AA27" s="8">
        <v>0.65949999999999998</v>
      </c>
      <c r="AB27" s="8">
        <v>1.41E-2</v>
      </c>
      <c r="AC27" s="12" t="str">
        <f t="shared" si="4"/>
        <v>64 (62 ~ 66)</v>
      </c>
    </row>
    <row r="28" spans="1:29" x14ac:dyDescent="0.25">
      <c r="A28" s="8" t="s">
        <v>206</v>
      </c>
      <c r="B28" s="8" t="s">
        <v>185</v>
      </c>
      <c r="C28" s="8" t="s">
        <v>182</v>
      </c>
      <c r="D28" s="8">
        <v>5</v>
      </c>
      <c r="E28" s="8">
        <v>0.72130000000000005</v>
      </c>
      <c r="F28" s="8">
        <v>0.68600000000000005</v>
      </c>
      <c r="G28" s="8">
        <v>0.75670000000000004</v>
      </c>
      <c r="H28" s="8">
        <v>2.5399999999999999E-2</v>
      </c>
      <c r="I28" s="12" t="str">
        <f t="shared" ref="I28:I90" si="5">ROUND(E28*100,1)&amp;" ("&amp;ROUND(F28*100,1)&amp;" ~ "&amp;ROUND(G28*100,1)&amp;")"</f>
        <v>72.1 (68.6 ~ 75.7)</v>
      </c>
      <c r="J28" s="8">
        <v>0.60509999999999997</v>
      </c>
      <c r="K28" s="8">
        <v>0.56440000000000001</v>
      </c>
      <c r="L28" s="8">
        <v>0.64570000000000005</v>
      </c>
      <c r="M28" s="8">
        <v>2.93E-2</v>
      </c>
      <c r="N28" s="12" t="str">
        <f t="shared" ref="N28:N90" si="6">ROUND(J28*100,1)&amp;" ("&amp;ROUND(K28*100,1)&amp;" ~ "&amp;ROUND(L28*100,1)&amp;")"</f>
        <v>60.5 (56.4 ~ 64.6)</v>
      </c>
      <c r="O28" s="8">
        <v>0.6835</v>
      </c>
      <c r="P28" s="8">
        <v>0.64929999999999999</v>
      </c>
      <c r="Q28" s="8">
        <v>0.7177</v>
      </c>
      <c r="R28" s="8">
        <v>2.46E-2</v>
      </c>
      <c r="S28" s="12" t="str">
        <f t="shared" ref="S28:S90" si="7">ROUND(O28*100,1)&amp;" ("&amp;ROUND(P28*100,1)&amp;" ~ "&amp;ROUND(Q28*100,1)&amp;")"</f>
        <v>68.4 (64.9 ~ 71.8)</v>
      </c>
      <c r="T28" s="8">
        <v>0.82879999999999998</v>
      </c>
      <c r="U28" s="8">
        <v>0.80869999999999997</v>
      </c>
      <c r="V28" s="8">
        <v>0.84889999999999999</v>
      </c>
      <c r="W28" s="8">
        <v>1.44E-2</v>
      </c>
      <c r="X28" s="12" t="str">
        <f t="shared" ref="X28:X90" si="8">ROUND(T28*100,1)&amp;" ("&amp;ROUND(U28*100,1)&amp;" ~ "&amp;ROUND(V28*100,1)&amp;")"</f>
        <v>82.9 (80.9 ~ 84.9)</v>
      </c>
      <c r="Y28" s="8">
        <v>0.68140000000000001</v>
      </c>
      <c r="Z28" s="8">
        <v>0.65069999999999995</v>
      </c>
      <c r="AA28" s="8">
        <v>0.71209999999999996</v>
      </c>
      <c r="AB28" s="8">
        <v>2.2100000000000002E-2</v>
      </c>
      <c r="AC28" s="12" t="str">
        <f t="shared" ref="AC28:AC90" si="9">ROUND(Y28*100,1)&amp;" ("&amp;ROUND(Z28*100,1)&amp;" ~ "&amp;ROUND(AA28*100,1)&amp;")"</f>
        <v>68.1 (65.1 ~ 71.2)</v>
      </c>
    </row>
    <row r="29" spans="1:29" x14ac:dyDescent="0.25">
      <c r="A29" s="8" t="s">
        <v>206</v>
      </c>
      <c r="B29" s="8" t="s">
        <v>124</v>
      </c>
      <c r="C29" s="8" t="s">
        <v>183</v>
      </c>
      <c r="D29" s="8">
        <v>5</v>
      </c>
      <c r="E29" s="8">
        <v>0.57069999999999999</v>
      </c>
      <c r="F29" s="8">
        <v>0.55359999999999998</v>
      </c>
      <c r="G29" s="8">
        <v>0.58779999999999999</v>
      </c>
      <c r="H29" s="8">
        <v>1.23E-2</v>
      </c>
      <c r="I29" s="12" t="str">
        <f t="shared" si="5"/>
        <v>57.1 (55.4 ~ 58.8)</v>
      </c>
      <c r="J29" s="8">
        <v>0.54679999999999995</v>
      </c>
      <c r="K29" s="8">
        <v>0.52900000000000003</v>
      </c>
      <c r="L29" s="8">
        <v>0.56469999999999998</v>
      </c>
      <c r="M29" s="8">
        <v>1.2800000000000001E-2</v>
      </c>
      <c r="N29" s="12" t="str">
        <f t="shared" si="6"/>
        <v>54.7 (52.9 ~ 56.5)</v>
      </c>
      <c r="O29" s="8">
        <v>0.58730000000000004</v>
      </c>
      <c r="P29" s="8">
        <v>0.56820000000000004</v>
      </c>
      <c r="Q29" s="8">
        <v>0.60640000000000005</v>
      </c>
      <c r="R29" s="8">
        <v>1.38E-2</v>
      </c>
      <c r="S29" s="12" t="str">
        <f t="shared" si="7"/>
        <v>58.7 (56.8 ~ 60.6)</v>
      </c>
      <c r="T29" s="8">
        <v>0.77969999999999995</v>
      </c>
      <c r="U29" s="8">
        <v>0.76590000000000003</v>
      </c>
      <c r="V29" s="8">
        <v>0.79339999999999999</v>
      </c>
      <c r="W29" s="8">
        <v>9.9000000000000008E-3</v>
      </c>
      <c r="X29" s="12" t="str">
        <f t="shared" si="8"/>
        <v>78 (76.6 ~ 79.3)</v>
      </c>
      <c r="Y29" s="8">
        <v>0.62949999999999995</v>
      </c>
      <c r="Z29" s="8">
        <v>0.61070000000000002</v>
      </c>
      <c r="AA29" s="8">
        <v>0.64839999999999998</v>
      </c>
      <c r="AB29" s="8">
        <v>1.3599999999999999E-2</v>
      </c>
      <c r="AC29" s="12" t="str">
        <f t="shared" si="9"/>
        <v>63 (61.1 ~ 64.8)</v>
      </c>
    </row>
    <row r="30" spans="1:29" x14ac:dyDescent="0.25">
      <c r="A30" s="8" t="s">
        <v>206</v>
      </c>
      <c r="B30" s="8" t="s">
        <v>124</v>
      </c>
      <c r="C30" s="8" t="s">
        <v>184</v>
      </c>
      <c r="D30" s="8">
        <v>5</v>
      </c>
      <c r="E30" s="8">
        <v>0.68700000000000006</v>
      </c>
      <c r="F30" s="8">
        <v>0.65890000000000004</v>
      </c>
      <c r="G30" s="8">
        <v>0.71509999999999996</v>
      </c>
      <c r="H30" s="8">
        <v>2.0199999999999999E-2</v>
      </c>
      <c r="I30" s="12" t="str">
        <f t="shared" si="5"/>
        <v>68.7 (65.9 ~ 71.5)</v>
      </c>
      <c r="J30" s="8">
        <v>0.57509999999999994</v>
      </c>
      <c r="K30" s="8">
        <v>0.51749999999999996</v>
      </c>
      <c r="L30" s="8">
        <v>0.63260000000000005</v>
      </c>
      <c r="M30" s="8">
        <v>4.1500000000000002E-2</v>
      </c>
      <c r="N30" s="12" t="str">
        <f t="shared" si="6"/>
        <v>57.5 (51.8 ~ 63.3)</v>
      </c>
      <c r="O30" s="8">
        <v>0.65280000000000005</v>
      </c>
      <c r="P30" s="8">
        <v>0.61199999999999999</v>
      </c>
      <c r="Q30" s="8">
        <v>0.69369999999999998</v>
      </c>
      <c r="R30" s="8">
        <v>2.9399999999999999E-2</v>
      </c>
      <c r="S30" s="12" t="str">
        <f t="shared" si="7"/>
        <v>65.3 (61.2 ~ 69.4)</v>
      </c>
      <c r="T30" s="8">
        <v>0.78200000000000003</v>
      </c>
      <c r="U30" s="8">
        <v>0.74819999999999998</v>
      </c>
      <c r="V30" s="8">
        <v>0.81579999999999997</v>
      </c>
      <c r="W30" s="8">
        <v>2.4299999999999999E-2</v>
      </c>
      <c r="X30" s="12" t="str">
        <f t="shared" si="8"/>
        <v>78.2 (74.8 ~ 81.6)</v>
      </c>
      <c r="Y30" s="8">
        <v>0.62509999999999999</v>
      </c>
      <c r="Z30" s="8">
        <v>0.58360000000000001</v>
      </c>
      <c r="AA30" s="8">
        <v>0.66649999999999998</v>
      </c>
      <c r="AB30" s="8">
        <v>2.9899999999999999E-2</v>
      </c>
      <c r="AC30" s="12" t="str">
        <f t="shared" si="9"/>
        <v>62.5 (58.4 ~ 66.7)</v>
      </c>
    </row>
    <row r="31" spans="1:29" x14ac:dyDescent="0.25">
      <c r="A31" s="8" t="s">
        <v>206</v>
      </c>
      <c r="B31" s="8" t="s">
        <v>124</v>
      </c>
      <c r="C31" s="8" t="s">
        <v>182</v>
      </c>
      <c r="D31" s="8">
        <v>5</v>
      </c>
      <c r="E31" s="8">
        <v>0.63680000000000003</v>
      </c>
      <c r="F31" s="8">
        <v>0.48920000000000002</v>
      </c>
      <c r="G31" s="8">
        <v>0.78439999999999999</v>
      </c>
      <c r="H31" s="8">
        <v>0.10630000000000001</v>
      </c>
      <c r="I31" s="12" t="str">
        <f t="shared" si="5"/>
        <v>63.7 (48.9 ~ 78.4)</v>
      </c>
      <c r="J31" s="8">
        <v>0.56520000000000004</v>
      </c>
      <c r="K31" s="8">
        <v>0.42970000000000003</v>
      </c>
      <c r="L31" s="8">
        <v>0.70069999999999999</v>
      </c>
      <c r="M31" s="8">
        <v>9.7600000000000006E-2</v>
      </c>
      <c r="N31" s="12" t="str">
        <f t="shared" si="6"/>
        <v>56.5 (43 ~ 70.1)</v>
      </c>
      <c r="O31" s="8">
        <v>0.62239999999999995</v>
      </c>
      <c r="P31" s="8">
        <v>0.47560000000000002</v>
      </c>
      <c r="Q31" s="8">
        <v>0.76910000000000001</v>
      </c>
      <c r="R31" s="8">
        <v>0.1057</v>
      </c>
      <c r="S31" s="12" t="str">
        <f t="shared" si="7"/>
        <v>62.2 (47.6 ~ 76.9)</v>
      </c>
      <c r="T31" s="8">
        <v>0.76449999999999996</v>
      </c>
      <c r="U31" s="8">
        <v>0.66759999999999997</v>
      </c>
      <c r="V31" s="8">
        <v>0.86150000000000004</v>
      </c>
      <c r="W31" s="8">
        <v>6.9900000000000004E-2</v>
      </c>
      <c r="X31" s="12" t="str">
        <f t="shared" si="8"/>
        <v>76.5 (66.8 ~ 86.2)</v>
      </c>
      <c r="Y31" s="8">
        <v>0.61639999999999995</v>
      </c>
      <c r="Z31" s="8">
        <v>0.5141</v>
      </c>
      <c r="AA31" s="8">
        <v>0.71870000000000001</v>
      </c>
      <c r="AB31" s="8">
        <v>7.3700000000000002E-2</v>
      </c>
      <c r="AC31" s="12" t="str">
        <f t="shared" si="9"/>
        <v>61.6 (51.4 ~ 71.9)</v>
      </c>
    </row>
    <row r="32" spans="1:29" x14ac:dyDescent="0.25">
      <c r="A32" s="8" t="s">
        <v>207</v>
      </c>
      <c r="B32" s="8" t="s">
        <v>185</v>
      </c>
      <c r="C32" s="8" t="s">
        <v>183</v>
      </c>
      <c r="D32" s="8">
        <v>5</v>
      </c>
      <c r="E32" s="8">
        <v>0.70209999999999995</v>
      </c>
      <c r="F32" s="8">
        <v>0.67149999999999999</v>
      </c>
      <c r="G32" s="8">
        <v>0.73270000000000002</v>
      </c>
      <c r="H32" s="8">
        <v>2.2100000000000002E-2</v>
      </c>
      <c r="I32" s="12" t="str">
        <f t="shared" si="5"/>
        <v>70.2 (67.2 ~ 73.3)</v>
      </c>
      <c r="J32" s="8">
        <v>0.65529999999999999</v>
      </c>
      <c r="K32" s="8">
        <v>0.61899999999999999</v>
      </c>
      <c r="L32" s="8">
        <v>0.6915</v>
      </c>
      <c r="M32" s="8">
        <v>2.6100000000000002E-2</v>
      </c>
      <c r="N32" s="12" t="str">
        <f t="shared" si="6"/>
        <v>65.5 (61.9 ~ 69.2)</v>
      </c>
      <c r="O32" s="8">
        <v>0.70550000000000002</v>
      </c>
      <c r="P32" s="8">
        <v>0.67469999999999997</v>
      </c>
      <c r="Q32" s="8">
        <v>0.73619999999999997</v>
      </c>
      <c r="R32" s="8">
        <v>2.2200000000000001E-2</v>
      </c>
      <c r="S32" s="12" t="str">
        <f t="shared" si="7"/>
        <v>70.6 (67.5 ~ 73.6)</v>
      </c>
      <c r="T32" s="8">
        <v>0.82469999999999999</v>
      </c>
      <c r="U32" s="8">
        <v>0.79769999999999996</v>
      </c>
      <c r="V32" s="8">
        <v>0.85170000000000001</v>
      </c>
      <c r="W32" s="8">
        <v>1.9400000000000001E-2</v>
      </c>
      <c r="X32" s="12" t="str">
        <f t="shared" si="8"/>
        <v>82.5 (79.8 ~ 85.2)</v>
      </c>
      <c r="Y32" s="8">
        <v>0.68569999999999998</v>
      </c>
      <c r="Z32" s="8">
        <v>0.64390000000000003</v>
      </c>
      <c r="AA32" s="8">
        <v>0.72750000000000004</v>
      </c>
      <c r="AB32" s="8">
        <v>3.0099999999999998E-2</v>
      </c>
      <c r="AC32" s="12" t="str">
        <f t="shared" si="9"/>
        <v>68.6 (64.4 ~ 72.8)</v>
      </c>
    </row>
    <row r="33" spans="1:29" x14ac:dyDescent="0.25">
      <c r="A33" s="8" t="s">
        <v>207</v>
      </c>
      <c r="B33" s="8" t="s">
        <v>185</v>
      </c>
      <c r="C33" s="8" t="s">
        <v>184</v>
      </c>
      <c r="D33" s="8">
        <v>5</v>
      </c>
      <c r="E33" s="8">
        <v>0.70379999999999998</v>
      </c>
      <c r="F33" s="8">
        <v>0.68379999999999996</v>
      </c>
      <c r="G33" s="8">
        <v>0.72370000000000001</v>
      </c>
      <c r="H33" s="8">
        <v>1.44E-2</v>
      </c>
      <c r="I33" s="12" t="str">
        <f t="shared" si="5"/>
        <v>70.4 (68.4 ~ 72.4)</v>
      </c>
      <c r="J33" s="8">
        <v>0.57779999999999998</v>
      </c>
      <c r="K33" s="8">
        <v>0.5534</v>
      </c>
      <c r="L33" s="8">
        <v>0.60219999999999996</v>
      </c>
      <c r="M33" s="8">
        <v>1.7600000000000001E-2</v>
      </c>
      <c r="N33" s="12" t="str">
        <f t="shared" si="6"/>
        <v>57.8 (55.3 ~ 60.2)</v>
      </c>
      <c r="O33" s="8">
        <v>0.66069999999999995</v>
      </c>
      <c r="P33" s="8">
        <v>0.64280000000000004</v>
      </c>
      <c r="Q33" s="8">
        <v>0.67859999999999998</v>
      </c>
      <c r="R33" s="8">
        <v>1.29E-2</v>
      </c>
      <c r="S33" s="12" t="str">
        <f t="shared" si="7"/>
        <v>66.1 (64.3 ~ 67.9)</v>
      </c>
      <c r="T33" s="8">
        <v>0.80230000000000001</v>
      </c>
      <c r="U33" s="8">
        <v>0.7782</v>
      </c>
      <c r="V33" s="8">
        <v>0.82640000000000002</v>
      </c>
      <c r="W33" s="8">
        <v>1.7399999999999999E-2</v>
      </c>
      <c r="X33" s="12" t="str">
        <f t="shared" si="8"/>
        <v>80.2 (77.8 ~ 82.6)</v>
      </c>
      <c r="Y33" s="8">
        <v>0.64810000000000001</v>
      </c>
      <c r="Z33" s="8">
        <v>0.61519999999999997</v>
      </c>
      <c r="AA33" s="8">
        <v>0.68110000000000004</v>
      </c>
      <c r="AB33" s="8">
        <v>2.3699999999999999E-2</v>
      </c>
      <c r="AC33" s="12" t="str">
        <f t="shared" si="9"/>
        <v>64.8 (61.5 ~ 68.1)</v>
      </c>
    </row>
    <row r="34" spans="1:29" x14ac:dyDescent="0.25">
      <c r="A34" s="8" t="s">
        <v>207</v>
      </c>
      <c r="B34" s="8" t="s">
        <v>185</v>
      </c>
      <c r="C34" s="8" t="s">
        <v>182</v>
      </c>
      <c r="D34" s="8">
        <v>5</v>
      </c>
      <c r="E34" s="8">
        <v>0.71970000000000001</v>
      </c>
      <c r="F34" s="8">
        <v>0.69640000000000002</v>
      </c>
      <c r="G34" s="8">
        <v>0.7429</v>
      </c>
      <c r="H34" s="8">
        <v>1.6799999999999999E-2</v>
      </c>
      <c r="I34" s="12" t="str">
        <f t="shared" si="5"/>
        <v>72 (69.6 ~ 74.3)</v>
      </c>
      <c r="J34" s="8">
        <v>0.59950000000000003</v>
      </c>
      <c r="K34" s="8">
        <v>0.55500000000000005</v>
      </c>
      <c r="L34" s="8">
        <v>0.64390000000000003</v>
      </c>
      <c r="M34" s="8">
        <v>3.2000000000000001E-2</v>
      </c>
      <c r="N34" s="12" t="str">
        <f t="shared" si="6"/>
        <v>60 (55.5 ~ 64.4)</v>
      </c>
      <c r="O34" s="8">
        <v>0.68010000000000004</v>
      </c>
      <c r="P34" s="8">
        <v>0.64849999999999997</v>
      </c>
      <c r="Q34" s="8">
        <v>0.7117</v>
      </c>
      <c r="R34" s="8">
        <v>2.2800000000000001E-2</v>
      </c>
      <c r="S34" s="12" t="str">
        <f t="shared" si="7"/>
        <v>68 (64.9 ~ 71.2)</v>
      </c>
      <c r="T34" s="8">
        <v>0.82569999999999999</v>
      </c>
      <c r="U34" s="8">
        <v>0.80649999999999999</v>
      </c>
      <c r="V34" s="8">
        <v>0.84489999999999998</v>
      </c>
      <c r="W34" s="8">
        <v>1.38E-2</v>
      </c>
      <c r="X34" s="12" t="str">
        <f t="shared" si="8"/>
        <v>82.6 (80.7 ~ 84.5)</v>
      </c>
      <c r="Y34" s="8">
        <v>0.67579999999999996</v>
      </c>
      <c r="Z34" s="8">
        <v>0.65229999999999999</v>
      </c>
      <c r="AA34" s="8">
        <v>0.69930000000000003</v>
      </c>
      <c r="AB34" s="8">
        <v>1.6899999999999998E-2</v>
      </c>
      <c r="AC34" s="12" t="str">
        <f t="shared" si="9"/>
        <v>67.6 (65.2 ~ 69.9)</v>
      </c>
    </row>
    <row r="35" spans="1:29" x14ac:dyDescent="0.25">
      <c r="A35" s="8" t="s">
        <v>207</v>
      </c>
      <c r="B35" s="8" t="s">
        <v>124</v>
      </c>
      <c r="C35" s="8" t="s">
        <v>183</v>
      </c>
      <c r="D35" s="8">
        <v>5</v>
      </c>
      <c r="E35" s="8">
        <v>0.57989999999999997</v>
      </c>
      <c r="F35" s="8">
        <v>0.55379999999999996</v>
      </c>
      <c r="G35" s="8">
        <v>0.60599999999999998</v>
      </c>
      <c r="H35" s="8">
        <v>1.8800000000000001E-2</v>
      </c>
      <c r="I35" s="12" t="str">
        <f t="shared" si="5"/>
        <v>58 (55.4 ~ 60.6)</v>
      </c>
      <c r="J35" s="8">
        <v>0.56079999999999997</v>
      </c>
      <c r="K35" s="8">
        <v>0.52910000000000001</v>
      </c>
      <c r="L35" s="8">
        <v>0.59250000000000003</v>
      </c>
      <c r="M35" s="8">
        <v>2.2800000000000001E-2</v>
      </c>
      <c r="N35" s="12" t="str">
        <f t="shared" si="6"/>
        <v>56.1 (52.9 ~ 59.3)</v>
      </c>
      <c r="O35" s="8">
        <v>0.59930000000000005</v>
      </c>
      <c r="P35" s="8">
        <v>0.56179999999999997</v>
      </c>
      <c r="Q35" s="8">
        <v>0.63680000000000003</v>
      </c>
      <c r="R35" s="8">
        <v>2.7E-2</v>
      </c>
      <c r="S35" s="12" t="str">
        <f t="shared" si="7"/>
        <v>59.9 (56.2 ~ 63.7)</v>
      </c>
      <c r="T35" s="8">
        <v>0.78059999999999996</v>
      </c>
      <c r="U35" s="8">
        <v>0.75070000000000003</v>
      </c>
      <c r="V35" s="8">
        <v>0.81059999999999999</v>
      </c>
      <c r="W35" s="8">
        <v>2.1600000000000001E-2</v>
      </c>
      <c r="X35" s="12" t="str">
        <f t="shared" si="8"/>
        <v>78.1 (75.1 ~ 81.1)</v>
      </c>
      <c r="Y35" s="8">
        <v>0.62370000000000003</v>
      </c>
      <c r="Z35" s="8">
        <v>0.58789999999999998</v>
      </c>
      <c r="AA35" s="8">
        <v>0.65959999999999996</v>
      </c>
      <c r="AB35" s="8">
        <v>2.58E-2</v>
      </c>
      <c r="AC35" s="12" t="str">
        <f t="shared" si="9"/>
        <v>62.4 (58.8 ~ 66)</v>
      </c>
    </row>
    <row r="36" spans="1:29" x14ac:dyDescent="0.25">
      <c r="A36" s="8" t="s">
        <v>207</v>
      </c>
      <c r="B36" s="8" t="s">
        <v>124</v>
      </c>
      <c r="C36" s="8" t="s">
        <v>184</v>
      </c>
      <c r="D36" s="8">
        <v>5</v>
      </c>
      <c r="E36" s="8">
        <v>0.68869999999999998</v>
      </c>
      <c r="F36" s="8">
        <v>0.64690000000000003</v>
      </c>
      <c r="G36" s="8">
        <v>0.73050000000000004</v>
      </c>
      <c r="H36" s="8">
        <v>3.0099999999999998E-2</v>
      </c>
      <c r="I36" s="12" t="str">
        <f t="shared" si="5"/>
        <v>68.9 (64.7 ~ 73.1)</v>
      </c>
      <c r="J36" s="8">
        <v>0.58389999999999997</v>
      </c>
      <c r="K36" s="8">
        <v>0.53520000000000001</v>
      </c>
      <c r="L36" s="8">
        <v>0.63270000000000004</v>
      </c>
      <c r="M36" s="8">
        <v>3.5099999999999999E-2</v>
      </c>
      <c r="N36" s="12" t="str">
        <f t="shared" si="6"/>
        <v>58.4 (53.5 ~ 63.3)</v>
      </c>
      <c r="O36" s="8">
        <v>0.65859999999999996</v>
      </c>
      <c r="P36" s="8">
        <v>0.61670000000000003</v>
      </c>
      <c r="Q36" s="8">
        <v>0.7006</v>
      </c>
      <c r="R36" s="8">
        <v>3.0200000000000001E-2</v>
      </c>
      <c r="S36" s="12" t="str">
        <f t="shared" si="7"/>
        <v>65.9 (61.7 ~ 70.1)</v>
      </c>
      <c r="T36" s="8">
        <v>0.7893</v>
      </c>
      <c r="U36" s="8">
        <v>0.75629999999999997</v>
      </c>
      <c r="V36" s="8">
        <v>0.82230000000000003</v>
      </c>
      <c r="W36" s="8">
        <v>2.3800000000000002E-2</v>
      </c>
      <c r="X36" s="12" t="str">
        <f t="shared" si="8"/>
        <v>78.9 (75.6 ~ 82.2)</v>
      </c>
      <c r="Y36" s="8">
        <v>0.62609999999999999</v>
      </c>
      <c r="Z36" s="8">
        <v>0.59599999999999997</v>
      </c>
      <c r="AA36" s="8">
        <v>0.65610000000000002</v>
      </c>
      <c r="AB36" s="8">
        <v>2.1600000000000001E-2</v>
      </c>
      <c r="AC36" s="12" t="str">
        <f t="shared" si="9"/>
        <v>62.6 (59.6 ~ 65.6)</v>
      </c>
    </row>
    <row r="37" spans="1:29" x14ac:dyDescent="0.25">
      <c r="A37" s="8" t="s">
        <v>207</v>
      </c>
      <c r="B37" s="8" t="s">
        <v>124</v>
      </c>
      <c r="C37" s="8" t="s">
        <v>182</v>
      </c>
      <c r="D37" s="8">
        <v>5</v>
      </c>
      <c r="E37" s="8">
        <v>0.68200000000000005</v>
      </c>
      <c r="F37" s="8">
        <v>0.64939999999999998</v>
      </c>
      <c r="G37" s="8">
        <v>0.7147</v>
      </c>
      <c r="H37" s="8">
        <v>2.35E-2</v>
      </c>
      <c r="I37" s="12" t="str">
        <f t="shared" si="5"/>
        <v>68.2 (64.9 ~ 71.5)</v>
      </c>
      <c r="J37" s="8">
        <v>0.59989999999999999</v>
      </c>
      <c r="K37" s="8">
        <v>0.56069999999999998</v>
      </c>
      <c r="L37" s="8">
        <v>0.6391</v>
      </c>
      <c r="M37" s="8">
        <v>2.8299999999999999E-2</v>
      </c>
      <c r="N37" s="12" t="str">
        <f t="shared" si="6"/>
        <v>60 (56.1 ~ 63.9)</v>
      </c>
      <c r="O37" s="8">
        <v>0.6653</v>
      </c>
      <c r="P37" s="8">
        <v>0.63570000000000004</v>
      </c>
      <c r="Q37" s="8">
        <v>0.69489999999999996</v>
      </c>
      <c r="R37" s="8">
        <v>2.1299999999999999E-2</v>
      </c>
      <c r="S37" s="12" t="str">
        <f t="shared" si="7"/>
        <v>66.5 (63.6 ~ 69.5)</v>
      </c>
      <c r="T37" s="8">
        <v>0.79659999999999997</v>
      </c>
      <c r="U37" s="8">
        <v>0.7571</v>
      </c>
      <c r="V37" s="8">
        <v>0.83609999999999995</v>
      </c>
      <c r="W37" s="8">
        <v>2.8500000000000001E-2</v>
      </c>
      <c r="X37" s="12" t="str">
        <f t="shared" si="8"/>
        <v>79.7 (75.7 ~ 83.6)</v>
      </c>
      <c r="Y37" s="8">
        <v>0.65339999999999998</v>
      </c>
      <c r="Z37" s="8">
        <v>0.60860000000000003</v>
      </c>
      <c r="AA37" s="8">
        <v>0.69820000000000004</v>
      </c>
      <c r="AB37" s="8">
        <v>3.2300000000000002E-2</v>
      </c>
      <c r="AC37" s="12" t="str">
        <f t="shared" si="9"/>
        <v>65.3 (60.9 ~ 69.8)</v>
      </c>
    </row>
    <row r="38" spans="1:29" x14ac:dyDescent="0.25">
      <c r="A38" s="8" t="s">
        <v>371</v>
      </c>
      <c r="B38" s="8" t="s">
        <v>185</v>
      </c>
      <c r="C38" s="8" t="s">
        <v>183</v>
      </c>
      <c r="D38" s="8">
        <v>5</v>
      </c>
      <c r="E38" s="8">
        <v>0.69620000000000004</v>
      </c>
      <c r="F38" s="8">
        <v>0.67259999999999998</v>
      </c>
      <c r="G38" s="8">
        <v>0.71989999999999998</v>
      </c>
      <c r="H38" s="8">
        <v>1.7100000000000001E-2</v>
      </c>
      <c r="I38" s="12" t="str">
        <f t="shared" si="5"/>
        <v>69.6 (67.3 ~ 72)</v>
      </c>
      <c r="J38" s="8">
        <v>0.65490000000000004</v>
      </c>
      <c r="K38" s="8">
        <v>0.63270000000000004</v>
      </c>
      <c r="L38" s="8">
        <v>0.67710000000000004</v>
      </c>
      <c r="M38" s="8">
        <v>1.6E-2</v>
      </c>
      <c r="N38" s="12" t="str">
        <f t="shared" si="6"/>
        <v>65.5 (63.3 ~ 67.7)</v>
      </c>
      <c r="O38" s="8">
        <v>0.7016</v>
      </c>
      <c r="P38" s="8">
        <v>0.68279999999999996</v>
      </c>
      <c r="Q38" s="8">
        <v>0.72050000000000003</v>
      </c>
      <c r="R38" s="8">
        <v>1.3599999999999999E-2</v>
      </c>
      <c r="S38" s="12" t="str">
        <f t="shared" si="7"/>
        <v>70.2 (68.3 ~ 72.1)</v>
      </c>
      <c r="T38" s="8">
        <v>0.83799999999999997</v>
      </c>
      <c r="U38" s="8">
        <v>0.81659999999999999</v>
      </c>
      <c r="V38" s="8">
        <v>0.85950000000000004</v>
      </c>
      <c r="W38" s="8">
        <v>1.55E-2</v>
      </c>
      <c r="X38" s="12" t="str">
        <f t="shared" si="8"/>
        <v>83.8 (81.7 ~ 86)</v>
      </c>
      <c r="Y38" s="8">
        <v>0.70389999999999997</v>
      </c>
      <c r="Z38" s="8">
        <v>0.67769999999999997</v>
      </c>
      <c r="AA38" s="8">
        <v>0.73</v>
      </c>
      <c r="AB38" s="8">
        <v>1.8800000000000001E-2</v>
      </c>
      <c r="AC38" s="12" t="str">
        <f t="shared" si="9"/>
        <v>70.4 (67.8 ~ 73)</v>
      </c>
    </row>
    <row r="39" spans="1:29" x14ac:dyDescent="0.25">
      <c r="A39" s="8" t="s">
        <v>369</v>
      </c>
      <c r="B39" s="8" t="s">
        <v>185</v>
      </c>
      <c r="C39" s="8" t="s">
        <v>183</v>
      </c>
      <c r="D39" s="8">
        <v>5</v>
      </c>
      <c r="E39" s="8">
        <v>0.70209999999999995</v>
      </c>
      <c r="F39" s="8">
        <v>0.67379999999999995</v>
      </c>
      <c r="G39" s="8">
        <v>0.73040000000000005</v>
      </c>
      <c r="H39" s="8">
        <v>2.0400000000000001E-2</v>
      </c>
      <c r="I39" s="12" t="str">
        <f t="shared" si="5"/>
        <v>70.2 (67.4 ~ 73)</v>
      </c>
      <c r="J39" s="8">
        <v>0.65969999999999995</v>
      </c>
      <c r="K39" s="8">
        <v>0.629</v>
      </c>
      <c r="L39" s="8">
        <v>0.69030000000000002</v>
      </c>
      <c r="M39" s="8">
        <v>2.2100000000000002E-2</v>
      </c>
      <c r="N39" s="12" t="str">
        <f t="shared" si="6"/>
        <v>66 (62.9 ~ 69)</v>
      </c>
      <c r="O39" s="8">
        <v>0.70650000000000002</v>
      </c>
      <c r="P39" s="8">
        <v>0.67669999999999997</v>
      </c>
      <c r="Q39" s="8">
        <v>0.73629999999999995</v>
      </c>
      <c r="R39" s="8">
        <v>2.1499999999999998E-2</v>
      </c>
      <c r="S39" s="12" t="str">
        <f t="shared" si="7"/>
        <v>70.7 (67.7 ~ 73.6)</v>
      </c>
      <c r="T39" s="8">
        <v>0.8407</v>
      </c>
      <c r="U39" s="8">
        <v>0.81850000000000001</v>
      </c>
      <c r="V39" s="8">
        <v>0.8629</v>
      </c>
      <c r="W39" s="8">
        <v>1.6E-2</v>
      </c>
      <c r="X39" s="12" t="str">
        <f t="shared" si="8"/>
        <v>84.1 (81.9 ~ 86.3)</v>
      </c>
      <c r="Y39" s="8">
        <v>0.70750000000000002</v>
      </c>
      <c r="Z39" s="8">
        <v>0.68130000000000002</v>
      </c>
      <c r="AA39" s="8">
        <v>0.73370000000000002</v>
      </c>
      <c r="AB39" s="8">
        <v>1.89E-2</v>
      </c>
      <c r="AC39" s="12" t="str">
        <f t="shared" si="9"/>
        <v>70.8 (68.1 ~ 73.4)</v>
      </c>
    </row>
    <row r="40" spans="1:29" x14ac:dyDescent="0.25">
      <c r="A40" s="8" t="s">
        <v>372</v>
      </c>
      <c r="B40" s="8" t="s">
        <v>185</v>
      </c>
      <c r="C40" s="8" t="s">
        <v>183</v>
      </c>
      <c r="D40" s="8">
        <v>5</v>
      </c>
      <c r="E40" s="8">
        <v>0.67610000000000003</v>
      </c>
      <c r="F40" s="8">
        <v>0.65080000000000005</v>
      </c>
      <c r="G40" s="8">
        <v>0.70150000000000001</v>
      </c>
      <c r="H40" s="8">
        <v>1.83E-2</v>
      </c>
      <c r="I40" s="12" t="str">
        <f t="shared" si="5"/>
        <v>67.6 (65.1 ~ 70.2)</v>
      </c>
      <c r="J40" s="8">
        <v>0.64319999999999999</v>
      </c>
      <c r="K40" s="8">
        <v>0.61570000000000003</v>
      </c>
      <c r="L40" s="8">
        <v>0.67069999999999996</v>
      </c>
      <c r="M40" s="8">
        <v>1.9800000000000002E-2</v>
      </c>
      <c r="N40" s="12" t="str">
        <f t="shared" si="6"/>
        <v>64.3 (61.6 ~ 67.1)</v>
      </c>
      <c r="O40" s="8">
        <v>0.68510000000000004</v>
      </c>
      <c r="P40" s="8">
        <v>0.6633</v>
      </c>
      <c r="Q40" s="8">
        <v>0.70689999999999997</v>
      </c>
      <c r="R40" s="8">
        <v>1.5699999999999999E-2</v>
      </c>
      <c r="S40" s="12" t="str">
        <f t="shared" si="7"/>
        <v>68.5 (66.3 ~ 70.7)</v>
      </c>
      <c r="T40" s="8">
        <v>0.81779999999999997</v>
      </c>
      <c r="U40" s="8">
        <v>0.79400000000000004</v>
      </c>
      <c r="V40" s="8">
        <v>0.84160000000000001</v>
      </c>
      <c r="W40" s="8">
        <v>1.72E-2</v>
      </c>
      <c r="X40" s="12" t="str">
        <f t="shared" si="8"/>
        <v>81.8 (79.4 ~ 84.2)</v>
      </c>
      <c r="Y40" s="8">
        <v>0.6653</v>
      </c>
      <c r="Z40" s="8">
        <v>0.63519999999999999</v>
      </c>
      <c r="AA40" s="8">
        <v>0.69550000000000001</v>
      </c>
      <c r="AB40" s="8">
        <v>2.1700000000000001E-2</v>
      </c>
      <c r="AC40" s="12" t="str">
        <f t="shared" si="9"/>
        <v>66.5 (63.5 ~ 69.6)</v>
      </c>
    </row>
    <row r="41" spans="1:29" x14ac:dyDescent="0.25">
      <c r="A41" s="8" t="s">
        <v>373</v>
      </c>
      <c r="B41" s="8" t="s">
        <v>185</v>
      </c>
      <c r="C41" s="8" t="s">
        <v>183</v>
      </c>
      <c r="D41" s="8">
        <v>5</v>
      </c>
      <c r="E41" s="8">
        <v>0.68620000000000003</v>
      </c>
      <c r="F41" s="8">
        <v>0.65769999999999995</v>
      </c>
      <c r="G41" s="8">
        <v>0.71460000000000001</v>
      </c>
      <c r="H41" s="8">
        <v>2.0500000000000001E-2</v>
      </c>
      <c r="I41" s="12" t="str">
        <f t="shared" si="5"/>
        <v>68.6 (65.8 ~ 71.5)</v>
      </c>
      <c r="J41" s="8">
        <v>0.64280000000000004</v>
      </c>
      <c r="K41" s="8">
        <v>0.62890000000000001</v>
      </c>
      <c r="L41" s="8">
        <v>0.65669999999999995</v>
      </c>
      <c r="M41" s="8">
        <v>0.01</v>
      </c>
      <c r="N41" s="12" t="str">
        <f t="shared" si="6"/>
        <v>64.3 (62.9 ~ 65.7)</v>
      </c>
      <c r="O41" s="8">
        <v>0.69079999999999997</v>
      </c>
      <c r="P41" s="8">
        <v>0.67259999999999998</v>
      </c>
      <c r="Q41" s="8">
        <v>0.70909999999999995</v>
      </c>
      <c r="R41" s="8">
        <v>1.3100000000000001E-2</v>
      </c>
      <c r="S41" s="12" t="str">
        <f t="shared" si="7"/>
        <v>69.1 (67.3 ~ 70.9)</v>
      </c>
      <c r="T41" s="8">
        <v>0.8085</v>
      </c>
      <c r="U41" s="8">
        <v>0.78500000000000003</v>
      </c>
      <c r="V41" s="8">
        <v>0.83209999999999995</v>
      </c>
      <c r="W41" s="8">
        <v>1.7000000000000001E-2</v>
      </c>
      <c r="X41" s="12" t="str">
        <f t="shared" si="8"/>
        <v>80.9 (78.5 ~ 83.2)</v>
      </c>
      <c r="Y41" s="8">
        <v>0.6593</v>
      </c>
      <c r="Z41" s="8">
        <v>0.62119999999999997</v>
      </c>
      <c r="AA41" s="8">
        <v>0.69730000000000003</v>
      </c>
      <c r="AB41" s="8">
        <v>2.7400000000000001E-2</v>
      </c>
      <c r="AC41" s="12" t="str">
        <f t="shared" si="9"/>
        <v>65.9 (62.1 ~ 69.7)</v>
      </c>
    </row>
    <row r="42" spans="1:29" x14ac:dyDescent="0.25">
      <c r="A42" s="8" t="s">
        <v>374</v>
      </c>
      <c r="B42" s="8" t="s">
        <v>185</v>
      </c>
      <c r="C42" s="8" t="s">
        <v>183</v>
      </c>
      <c r="D42" s="8">
        <v>5</v>
      </c>
      <c r="E42" s="8">
        <v>0.69620000000000004</v>
      </c>
      <c r="F42" s="8">
        <v>0.67620000000000002</v>
      </c>
      <c r="G42" s="8">
        <v>0.71619999999999995</v>
      </c>
      <c r="H42" s="8">
        <v>1.44E-2</v>
      </c>
      <c r="I42" s="12" t="str">
        <f t="shared" si="5"/>
        <v>69.6 (67.6 ~ 71.6)</v>
      </c>
      <c r="J42" s="8">
        <v>0.6623</v>
      </c>
      <c r="K42" s="8">
        <v>0.65010000000000001</v>
      </c>
      <c r="L42" s="8">
        <v>0.67449999999999999</v>
      </c>
      <c r="M42" s="8">
        <v>8.8000000000000005E-3</v>
      </c>
      <c r="N42" s="12" t="str">
        <f t="shared" si="6"/>
        <v>66.2 (65 ~ 67.5)</v>
      </c>
      <c r="O42" s="8">
        <v>0.70369999999999999</v>
      </c>
      <c r="P42" s="8">
        <v>0.68779999999999997</v>
      </c>
      <c r="Q42" s="8">
        <v>0.71960000000000002</v>
      </c>
      <c r="R42" s="8">
        <v>1.15E-2</v>
      </c>
      <c r="S42" s="12" t="str">
        <f t="shared" si="7"/>
        <v>70.4 (68.8 ~ 72)</v>
      </c>
      <c r="T42" s="8">
        <v>0.82730000000000004</v>
      </c>
      <c r="U42" s="8">
        <v>0.81359999999999999</v>
      </c>
      <c r="V42" s="8">
        <v>0.84099999999999997</v>
      </c>
      <c r="W42" s="8">
        <v>9.9000000000000008E-3</v>
      </c>
      <c r="X42" s="12" t="str">
        <f t="shared" si="8"/>
        <v>82.7 (81.4 ~ 84.1)</v>
      </c>
      <c r="Y42" s="8">
        <v>0.68569999999999998</v>
      </c>
      <c r="Z42" s="8">
        <v>0.66869999999999996</v>
      </c>
      <c r="AA42" s="8">
        <v>0.70269999999999999</v>
      </c>
      <c r="AB42" s="8">
        <v>1.2200000000000001E-2</v>
      </c>
      <c r="AC42" s="12" t="str">
        <f t="shared" si="9"/>
        <v>68.6 (66.9 ~ 70.3)</v>
      </c>
    </row>
    <row r="43" spans="1:29" x14ac:dyDescent="0.25">
      <c r="A43" s="8" t="s">
        <v>375</v>
      </c>
      <c r="B43" s="8" t="s">
        <v>185</v>
      </c>
      <c r="C43" s="8" t="s">
        <v>183</v>
      </c>
      <c r="D43" s="8">
        <v>5</v>
      </c>
      <c r="E43" s="8">
        <v>0.6895</v>
      </c>
      <c r="F43" s="8">
        <v>0.67290000000000005</v>
      </c>
      <c r="G43" s="8">
        <v>0.70609999999999995</v>
      </c>
      <c r="H43" s="8">
        <v>1.2E-2</v>
      </c>
      <c r="I43" s="12" t="str">
        <f t="shared" si="5"/>
        <v>69 (67.3 ~ 70.6)</v>
      </c>
      <c r="J43" s="8">
        <v>0.65100000000000002</v>
      </c>
      <c r="K43" s="8">
        <v>0.62629999999999997</v>
      </c>
      <c r="L43" s="8">
        <v>0.67569999999999997</v>
      </c>
      <c r="M43" s="8">
        <v>1.78E-2</v>
      </c>
      <c r="N43" s="12" t="str">
        <f t="shared" si="6"/>
        <v>65.1 (62.6 ~ 67.6)</v>
      </c>
      <c r="O43" s="8">
        <v>0.69499999999999995</v>
      </c>
      <c r="P43" s="8">
        <v>0.67989999999999995</v>
      </c>
      <c r="Q43" s="8">
        <v>0.71020000000000005</v>
      </c>
      <c r="R43" s="8">
        <v>1.09E-2</v>
      </c>
      <c r="S43" s="12" t="str">
        <f t="shared" si="7"/>
        <v>69.5 (68 ~ 71)</v>
      </c>
      <c r="T43" s="8">
        <v>0.82479999999999998</v>
      </c>
      <c r="U43" s="8">
        <v>0.81040000000000001</v>
      </c>
      <c r="V43" s="8">
        <v>0.83919999999999995</v>
      </c>
      <c r="W43" s="8">
        <v>1.04E-2</v>
      </c>
      <c r="X43" s="12" t="str">
        <f t="shared" si="8"/>
        <v>82.5 (81 ~ 83.9)</v>
      </c>
      <c r="Y43" s="8">
        <v>0.68340000000000001</v>
      </c>
      <c r="Z43" s="8">
        <v>0.65720000000000001</v>
      </c>
      <c r="AA43" s="8">
        <v>0.70960000000000001</v>
      </c>
      <c r="AB43" s="8">
        <v>1.89E-2</v>
      </c>
      <c r="AC43" s="12" t="str">
        <f t="shared" si="9"/>
        <v>68.3 (65.7 ~ 71)</v>
      </c>
    </row>
    <row r="44" spans="1:29" x14ac:dyDescent="0.25">
      <c r="A44" s="8" t="s">
        <v>371</v>
      </c>
      <c r="B44" s="8" t="s">
        <v>185</v>
      </c>
      <c r="C44" s="8" t="s">
        <v>184</v>
      </c>
      <c r="D44" s="8">
        <v>5</v>
      </c>
      <c r="E44" s="8">
        <v>0.71550000000000002</v>
      </c>
      <c r="F44" s="8">
        <v>0.69279999999999997</v>
      </c>
      <c r="G44" s="8">
        <v>0.73809999999999998</v>
      </c>
      <c r="H44" s="8">
        <v>1.6299999999999999E-2</v>
      </c>
      <c r="I44" s="12" t="str">
        <f t="shared" si="5"/>
        <v>71.6 (69.3 ~ 73.8)</v>
      </c>
      <c r="J44" s="8">
        <v>0.60409999999999997</v>
      </c>
      <c r="K44" s="8">
        <v>0.56979999999999997</v>
      </c>
      <c r="L44" s="8">
        <v>0.63849999999999996</v>
      </c>
      <c r="M44" s="8">
        <v>2.47E-2</v>
      </c>
      <c r="N44" s="12" t="str">
        <f t="shared" si="6"/>
        <v>60.4 (57 ~ 63.9)</v>
      </c>
      <c r="O44" s="8">
        <v>0.67879999999999996</v>
      </c>
      <c r="P44" s="8">
        <v>0.65449999999999997</v>
      </c>
      <c r="Q44" s="8">
        <v>0.70309999999999995</v>
      </c>
      <c r="R44" s="8">
        <v>1.7500000000000002E-2</v>
      </c>
      <c r="S44" s="12" t="str">
        <f t="shared" si="7"/>
        <v>67.9 (65.5 ~ 70.3)</v>
      </c>
      <c r="T44" s="8">
        <v>0.80479999999999996</v>
      </c>
      <c r="U44" s="8">
        <v>0.78420000000000001</v>
      </c>
      <c r="V44" s="8">
        <v>0.82540000000000002</v>
      </c>
      <c r="W44" s="8">
        <v>1.4800000000000001E-2</v>
      </c>
      <c r="X44" s="12" t="str">
        <f t="shared" si="8"/>
        <v>80.5 (78.4 ~ 82.5)</v>
      </c>
      <c r="Y44" s="8">
        <v>0.65610000000000002</v>
      </c>
      <c r="Z44" s="8">
        <v>0.61599999999999999</v>
      </c>
      <c r="AA44" s="8">
        <v>0.69610000000000005</v>
      </c>
      <c r="AB44" s="8">
        <v>2.8899999999999999E-2</v>
      </c>
      <c r="AC44" s="12" t="str">
        <f t="shared" si="9"/>
        <v>65.6 (61.6 ~ 69.6)</v>
      </c>
    </row>
    <row r="45" spans="1:29" x14ac:dyDescent="0.25">
      <c r="A45" s="8" t="s">
        <v>369</v>
      </c>
      <c r="B45" s="8" t="s">
        <v>185</v>
      </c>
      <c r="C45" s="8" t="s">
        <v>184</v>
      </c>
      <c r="D45" s="8">
        <v>5</v>
      </c>
      <c r="E45" s="8">
        <v>0.71879999999999999</v>
      </c>
      <c r="F45" s="8">
        <v>0.71030000000000004</v>
      </c>
      <c r="G45" s="8">
        <v>0.72729999999999995</v>
      </c>
      <c r="H45" s="8">
        <v>6.1000000000000004E-3</v>
      </c>
      <c r="I45" s="12" t="str">
        <f t="shared" si="5"/>
        <v>71.9 (71 ~ 72.7)</v>
      </c>
      <c r="J45" s="8">
        <v>0.57140000000000002</v>
      </c>
      <c r="K45" s="8">
        <v>0.55200000000000005</v>
      </c>
      <c r="L45" s="8">
        <v>0.59079999999999999</v>
      </c>
      <c r="M45" s="8">
        <v>1.4E-2</v>
      </c>
      <c r="N45" s="12" t="str">
        <f t="shared" si="6"/>
        <v>57.1 (55.2 ~ 59.1)</v>
      </c>
      <c r="O45" s="8">
        <v>0.66439999999999999</v>
      </c>
      <c r="P45" s="8">
        <v>0.65210000000000001</v>
      </c>
      <c r="Q45" s="8">
        <v>0.67669999999999997</v>
      </c>
      <c r="R45" s="8">
        <v>8.8000000000000005E-3</v>
      </c>
      <c r="S45" s="12" t="str">
        <f t="shared" si="7"/>
        <v>66.4 (65.2 ~ 67.7)</v>
      </c>
      <c r="T45" s="8">
        <v>0.81840000000000002</v>
      </c>
      <c r="U45" s="8">
        <v>0.79690000000000005</v>
      </c>
      <c r="V45" s="8">
        <v>0.84</v>
      </c>
      <c r="W45" s="8">
        <v>1.55E-2</v>
      </c>
      <c r="X45" s="12" t="str">
        <f t="shared" si="8"/>
        <v>81.8 (79.7 ~ 84)</v>
      </c>
      <c r="Y45" s="8">
        <v>0.66800000000000004</v>
      </c>
      <c r="Z45" s="8">
        <v>0.63949999999999996</v>
      </c>
      <c r="AA45" s="8">
        <v>0.69650000000000001</v>
      </c>
      <c r="AB45" s="8">
        <v>2.06E-2</v>
      </c>
      <c r="AC45" s="12" t="str">
        <f t="shared" si="9"/>
        <v>66.8 (64 ~ 69.7)</v>
      </c>
    </row>
    <row r="46" spans="1:29" x14ac:dyDescent="0.25">
      <c r="A46" s="8" t="s">
        <v>372</v>
      </c>
      <c r="B46" s="8" t="s">
        <v>185</v>
      </c>
      <c r="C46" s="8" t="s">
        <v>184</v>
      </c>
      <c r="D46" s="8">
        <v>5</v>
      </c>
      <c r="E46" s="8">
        <v>0.70709999999999995</v>
      </c>
      <c r="F46" s="8">
        <v>0.66700000000000004</v>
      </c>
      <c r="G46" s="8">
        <v>0.74709999999999999</v>
      </c>
      <c r="H46" s="8">
        <v>2.8899999999999999E-2</v>
      </c>
      <c r="I46" s="12" t="str">
        <f t="shared" si="5"/>
        <v>70.7 (66.7 ~ 74.7)</v>
      </c>
      <c r="J46" s="8">
        <v>0.58740000000000003</v>
      </c>
      <c r="K46" s="8">
        <v>0.54249999999999998</v>
      </c>
      <c r="L46" s="8">
        <v>0.63229999999999997</v>
      </c>
      <c r="M46" s="8">
        <v>3.2399999999999998E-2</v>
      </c>
      <c r="N46" s="12" t="str">
        <f t="shared" si="6"/>
        <v>58.7 (54.3 ~ 63.2)</v>
      </c>
      <c r="O46" s="8">
        <v>0.66549999999999998</v>
      </c>
      <c r="P46" s="8">
        <v>0.62380000000000002</v>
      </c>
      <c r="Q46" s="8">
        <v>0.70730000000000004</v>
      </c>
      <c r="R46" s="8">
        <v>3.0099999999999998E-2</v>
      </c>
      <c r="S46" s="12" t="str">
        <f t="shared" si="7"/>
        <v>66.6 (62.4 ~ 70.7)</v>
      </c>
      <c r="T46" s="8">
        <v>0.8034</v>
      </c>
      <c r="U46" s="8">
        <v>0.78649999999999998</v>
      </c>
      <c r="V46" s="8">
        <v>0.82040000000000002</v>
      </c>
      <c r="W46" s="8">
        <v>1.2200000000000001E-2</v>
      </c>
      <c r="X46" s="12" t="str">
        <f t="shared" si="8"/>
        <v>80.3 (78.7 ~ 82)</v>
      </c>
      <c r="Y46" s="8">
        <v>0.65229999999999999</v>
      </c>
      <c r="Z46" s="8">
        <v>0.63139999999999996</v>
      </c>
      <c r="AA46" s="8">
        <v>0.67330000000000001</v>
      </c>
      <c r="AB46" s="8">
        <v>1.5100000000000001E-2</v>
      </c>
      <c r="AC46" s="12" t="str">
        <f t="shared" si="9"/>
        <v>65.2 (63.1 ~ 67.3)</v>
      </c>
    </row>
    <row r="47" spans="1:29" x14ac:dyDescent="0.25">
      <c r="A47" s="8" t="s">
        <v>373</v>
      </c>
      <c r="B47" s="8" t="s">
        <v>185</v>
      </c>
      <c r="C47" s="8" t="s">
        <v>184</v>
      </c>
      <c r="D47" s="8">
        <v>5</v>
      </c>
      <c r="E47" s="8">
        <v>0.70709999999999995</v>
      </c>
      <c r="F47" s="8">
        <v>0.69199999999999995</v>
      </c>
      <c r="G47" s="8">
        <v>0.72219999999999995</v>
      </c>
      <c r="H47" s="8">
        <v>1.09E-2</v>
      </c>
      <c r="I47" s="12" t="str">
        <f t="shared" si="5"/>
        <v>70.7 (69.2 ~ 72.2)</v>
      </c>
      <c r="J47" s="8">
        <v>0.54359999999999997</v>
      </c>
      <c r="K47" s="8">
        <v>0.51070000000000004</v>
      </c>
      <c r="L47" s="8">
        <v>0.57650000000000001</v>
      </c>
      <c r="M47" s="8">
        <v>2.3699999999999999E-2</v>
      </c>
      <c r="N47" s="12" t="str">
        <f t="shared" si="6"/>
        <v>54.4 (51.1 ~ 57.7)</v>
      </c>
      <c r="O47" s="8">
        <v>0.64319999999999999</v>
      </c>
      <c r="P47" s="8">
        <v>0.61939999999999995</v>
      </c>
      <c r="Q47" s="8">
        <v>0.66710000000000003</v>
      </c>
      <c r="R47" s="8">
        <v>1.72E-2</v>
      </c>
      <c r="S47" s="12" t="str">
        <f t="shared" si="7"/>
        <v>64.3 (61.9 ~ 66.7)</v>
      </c>
      <c r="T47" s="8">
        <v>0.78049999999999997</v>
      </c>
      <c r="U47" s="8">
        <v>0.75929999999999997</v>
      </c>
      <c r="V47" s="8">
        <v>0.80159999999999998</v>
      </c>
      <c r="W47" s="8">
        <v>1.5299999999999999E-2</v>
      </c>
      <c r="X47" s="12" t="str">
        <f t="shared" si="8"/>
        <v>78.1 (75.9 ~ 80.2)</v>
      </c>
      <c r="Y47" s="8">
        <v>0.61880000000000002</v>
      </c>
      <c r="Z47" s="8">
        <v>0.5948</v>
      </c>
      <c r="AA47" s="8">
        <v>0.64280000000000004</v>
      </c>
      <c r="AB47" s="8">
        <v>1.7299999999999999E-2</v>
      </c>
      <c r="AC47" s="12" t="str">
        <f t="shared" si="9"/>
        <v>61.9 (59.5 ~ 64.3)</v>
      </c>
    </row>
    <row r="48" spans="1:29" x14ac:dyDescent="0.25">
      <c r="A48" s="8" t="s">
        <v>374</v>
      </c>
      <c r="B48" s="8" t="s">
        <v>185</v>
      </c>
      <c r="C48" s="8" t="s">
        <v>184</v>
      </c>
      <c r="D48" s="8">
        <v>5</v>
      </c>
      <c r="E48" s="8">
        <v>0.69869999999999999</v>
      </c>
      <c r="F48" s="8">
        <v>0.6653</v>
      </c>
      <c r="G48" s="8">
        <v>0.73219999999999996</v>
      </c>
      <c r="H48" s="8">
        <v>2.41E-2</v>
      </c>
      <c r="I48" s="12" t="str">
        <f t="shared" si="5"/>
        <v>69.9 (66.5 ~ 73.2)</v>
      </c>
      <c r="J48" s="8">
        <v>0.55979999999999996</v>
      </c>
      <c r="K48" s="8">
        <v>0.52010000000000001</v>
      </c>
      <c r="L48" s="8">
        <v>0.59960000000000002</v>
      </c>
      <c r="M48" s="8">
        <v>2.86E-2</v>
      </c>
      <c r="N48" s="12" t="str">
        <f t="shared" si="6"/>
        <v>56 (52 ~ 60)</v>
      </c>
      <c r="O48" s="8">
        <v>0.64870000000000005</v>
      </c>
      <c r="P48" s="8">
        <v>0.61350000000000005</v>
      </c>
      <c r="Q48" s="8">
        <v>0.68389999999999995</v>
      </c>
      <c r="R48" s="8">
        <v>2.5399999999999999E-2</v>
      </c>
      <c r="S48" s="12" t="str">
        <f t="shared" si="7"/>
        <v>64.9 (61.4 ~ 68.4)</v>
      </c>
      <c r="T48" s="8">
        <v>0.80400000000000005</v>
      </c>
      <c r="U48" s="8">
        <v>0.77739999999999998</v>
      </c>
      <c r="V48" s="8">
        <v>0.83050000000000002</v>
      </c>
      <c r="W48" s="8">
        <v>1.9099999999999999E-2</v>
      </c>
      <c r="X48" s="12" t="str">
        <f t="shared" si="8"/>
        <v>80.4 (77.7 ~ 83.1)</v>
      </c>
      <c r="Y48" s="8">
        <v>0.6472</v>
      </c>
      <c r="Z48" s="8">
        <v>0.60770000000000002</v>
      </c>
      <c r="AA48" s="8">
        <v>0.68669999999999998</v>
      </c>
      <c r="AB48" s="8">
        <v>2.8500000000000001E-2</v>
      </c>
      <c r="AC48" s="12" t="str">
        <f t="shared" si="9"/>
        <v>64.7 (60.8 ~ 68.7)</v>
      </c>
    </row>
    <row r="49" spans="1:29" x14ac:dyDescent="0.25">
      <c r="A49" s="8" t="s">
        <v>375</v>
      </c>
      <c r="B49" s="8" t="s">
        <v>185</v>
      </c>
      <c r="C49" s="8" t="s">
        <v>184</v>
      </c>
      <c r="D49" s="8">
        <v>5</v>
      </c>
      <c r="E49" s="8">
        <v>0.71130000000000004</v>
      </c>
      <c r="F49" s="8">
        <v>0.68169999999999997</v>
      </c>
      <c r="G49" s="8">
        <v>0.7409</v>
      </c>
      <c r="H49" s="8">
        <v>2.1299999999999999E-2</v>
      </c>
      <c r="I49" s="12" t="str">
        <f t="shared" si="5"/>
        <v>71.1 (68.2 ~ 74.1)</v>
      </c>
      <c r="J49" s="8">
        <v>0.57979999999999998</v>
      </c>
      <c r="K49" s="8">
        <v>0.54169999999999996</v>
      </c>
      <c r="L49" s="8">
        <v>0.6179</v>
      </c>
      <c r="M49" s="8">
        <v>2.7400000000000001E-2</v>
      </c>
      <c r="N49" s="12" t="str">
        <f t="shared" si="6"/>
        <v>58 (54.2 ~ 61.8)</v>
      </c>
      <c r="O49" s="8">
        <v>0.6633</v>
      </c>
      <c r="P49" s="8">
        <v>0.63290000000000002</v>
      </c>
      <c r="Q49" s="8">
        <v>0.69359999999999999</v>
      </c>
      <c r="R49" s="8">
        <v>2.1899999999999999E-2</v>
      </c>
      <c r="S49" s="12" t="str">
        <f t="shared" si="7"/>
        <v>66.3 (63.3 ~ 69.4)</v>
      </c>
      <c r="T49" s="8">
        <v>0.80200000000000005</v>
      </c>
      <c r="U49" s="8">
        <v>0.77029999999999998</v>
      </c>
      <c r="V49" s="8">
        <v>0.8337</v>
      </c>
      <c r="W49" s="8">
        <v>2.2800000000000001E-2</v>
      </c>
      <c r="X49" s="12" t="str">
        <f t="shared" si="8"/>
        <v>80.2 (77 ~ 83.4)</v>
      </c>
      <c r="Y49" s="8">
        <v>0.64610000000000001</v>
      </c>
      <c r="Z49" s="8">
        <v>0.61109999999999998</v>
      </c>
      <c r="AA49" s="8">
        <v>0.68110000000000004</v>
      </c>
      <c r="AB49" s="8">
        <v>2.52E-2</v>
      </c>
      <c r="AC49" s="12" t="str">
        <f t="shared" si="9"/>
        <v>64.6 (61.1 ~ 68.1)</v>
      </c>
    </row>
    <row r="50" spans="1:29" x14ac:dyDescent="0.25">
      <c r="A50" s="8" t="s">
        <v>371</v>
      </c>
      <c r="B50" s="8" t="s">
        <v>185</v>
      </c>
      <c r="C50" s="8" t="s">
        <v>182</v>
      </c>
      <c r="D50" s="8">
        <v>5</v>
      </c>
      <c r="E50" s="8">
        <v>0.73560000000000003</v>
      </c>
      <c r="F50" s="8">
        <v>0.71430000000000005</v>
      </c>
      <c r="G50" s="8">
        <v>0.75680000000000003</v>
      </c>
      <c r="H50" s="8">
        <v>1.5299999999999999E-2</v>
      </c>
      <c r="I50" s="12" t="str">
        <f t="shared" si="5"/>
        <v>73.6 (71.4 ~ 75.7)</v>
      </c>
      <c r="J50" s="8">
        <v>0.6381</v>
      </c>
      <c r="K50" s="8">
        <v>0.61829999999999996</v>
      </c>
      <c r="L50" s="8">
        <v>0.65780000000000005</v>
      </c>
      <c r="M50" s="8">
        <v>1.4200000000000001E-2</v>
      </c>
      <c r="N50" s="12" t="str">
        <f t="shared" si="6"/>
        <v>63.8 (61.8 ~ 65.8)</v>
      </c>
      <c r="O50" s="8">
        <v>0.70679999999999998</v>
      </c>
      <c r="P50" s="8">
        <v>0.68859999999999999</v>
      </c>
      <c r="Q50" s="8">
        <v>0.72489999999999999</v>
      </c>
      <c r="R50" s="8">
        <v>1.3100000000000001E-2</v>
      </c>
      <c r="S50" s="12" t="str">
        <f t="shared" si="7"/>
        <v>70.7 (68.9 ~ 72.5)</v>
      </c>
      <c r="T50" s="8">
        <v>0.82820000000000005</v>
      </c>
      <c r="U50" s="8">
        <v>0.8054</v>
      </c>
      <c r="V50" s="8">
        <v>0.85109999999999997</v>
      </c>
      <c r="W50" s="8">
        <v>1.6500000000000001E-2</v>
      </c>
      <c r="X50" s="12" t="str">
        <f t="shared" si="8"/>
        <v>82.8 (80.5 ~ 85.1)</v>
      </c>
      <c r="Y50" s="8">
        <v>0.68269999999999997</v>
      </c>
      <c r="Z50" s="8">
        <v>0.64529999999999998</v>
      </c>
      <c r="AA50" s="8">
        <v>0.72019999999999995</v>
      </c>
      <c r="AB50" s="8">
        <v>2.7E-2</v>
      </c>
      <c r="AC50" s="12" t="str">
        <f t="shared" si="9"/>
        <v>68.3 (64.5 ~ 72)</v>
      </c>
    </row>
    <row r="51" spans="1:29" x14ac:dyDescent="0.25">
      <c r="A51" s="8" t="s">
        <v>369</v>
      </c>
      <c r="B51" s="8" t="s">
        <v>185</v>
      </c>
      <c r="C51" s="8" t="s">
        <v>182</v>
      </c>
      <c r="D51" s="8">
        <v>5</v>
      </c>
      <c r="E51" s="8">
        <v>0.72719999999999996</v>
      </c>
      <c r="F51" s="8">
        <v>0.7137</v>
      </c>
      <c r="G51" s="8">
        <v>0.74060000000000004</v>
      </c>
      <c r="H51" s="8">
        <v>9.7000000000000003E-3</v>
      </c>
      <c r="I51" s="12" t="str">
        <f t="shared" si="5"/>
        <v>72.7 (71.4 ~ 74.1)</v>
      </c>
      <c r="J51" s="8">
        <v>0.60809999999999997</v>
      </c>
      <c r="K51" s="8">
        <v>0.58360000000000001</v>
      </c>
      <c r="L51" s="8">
        <v>0.63270000000000004</v>
      </c>
      <c r="M51" s="8">
        <v>1.77E-2</v>
      </c>
      <c r="N51" s="12" t="str">
        <f t="shared" si="6"/>
        <v>60.8 (58.4 ~ 63.3)</v>
      </c>
      <c r="O51" s="8">
        <v>0.68720000000000003</v>
      </c>
      <c r="P51" s="8">
        <v>0.66979999999999995</v>
      </c>
      <c r="Q51" s="8">
        <v>0.70469999999999999</v>
      </c>
      <c r="R51" s="8">
        <v>1.26E-2</v>
      </c>
      <c r="S51" s="12" t="str">
        <f t="shared" si="7"/>
        <v>68.7 (67 ~ 70.5)</v>
      </c>
      <c r="T51" s="8">
        <v>0.8347</v>
      </c>
      <c r="U51" s="8">
        <v>0.81200000000000006</v>
      </c>
      <c r="V51" s="8">
        <v>0.85740000000000005</v>
      </c>
      <c r="W51" s="8">
        <v>1.6400000000000001E-2</v>
      </c>
      <c r="X51" s="12" t="str">
        <f t="shared" si="8"/>
        <v>83.5 (81.2 ~ 85.7)</v>
      </c>
      <c r="Y51" s="8">
        <v>0.69420000000000004</v>
      </c>
      <c r="Z51" s="8">
        <v>0.66449999999999998</v>
      </c>
      <c r="AA51" s="8">
        <v>0.72389999999999999</v>
      </c>
      <c r="AB51" s="8">
        <v>2.1399999999999999E-2</v>
      </c>
      <c r="AC51" s="12" t="str">
        <f t="shared" si="9"/>
        <v>69.4 (66.5 ~ 72.4)</v>
      </c>
    </row>
    <row r="52" spans="1:29" x14ac:dyDescent="0.25">
      <c r="A52" s="8" t="s">
        <v>372</v>
      </c>
      <c r="B52" s="8" t="s">
        <v>185</v>
      </c>
      <c r="C52" s="8" t="s">
        <v>182</v>
      </c>
      <c r="D52" s="8">
        <v>5</v>
      </c>
      <c r="E52" s="8">
        <v>0.72130000000000005</v>
      </c>
      <c r="F52" s="8">
        <v>0.69520000000000004</v>
      </c>
      <c r="G52" s="8">
        <v>0.74750000000000005</v>
      </c>
      <c r="H52" s="8">
        <v>1.8800000000000001E-2</v>
      </c>
      <c r="I52" s="12" t="str">
        <f t="shared" si="5"/>
        <v>72.1 (69.5 ~ 74.8)</v>
      </c>
      <c r="J52" s="8">
        <v>0.60919999999999996</v>
      </c>
      <c r="K52" s="8">
        <v>0.57289999999999996</v>
      </c>
      <c r="L52" s="8">
        <v>0.64549999999999996</v>
      </c>
      <c r="M52" s="8">
        <v>2.6200000000000001E-2</v>
      </c>
      <c r="N52" s="12" t="str">
        <f t="shared" si="6"/>
        <v>60.9 (57.3 ~ 64.6)</v>
      </c>
      <c r="O52" s="8">
        <v>0.68579999999999997</v>
      </c>
      <c r="P52" s="8">
        <v>0.65759999999999996</v>
      </c>
      <c r="Q52" s="8">
        <v>0.71409999999999996</v>
      </c>
      <c r="R52" s="8">
        <v>2.0400000000000001E-2</v>
      </c>
      <c r="S52" s="12" t="str">
        <f t="shared" si="7"/>
        <v>68.6 (65.8 ~ 71.4)</v>
      </c>
      <c r="T52" s="8">
        <v>0.83109999999999995</v>
      </c>
      <c r="U52" s="8">
        <v>0.80859999999999999</v>
      </c>
      <c r="V52" s="8">
        <v>0.85360000000000003</v>
      </c>
      <c r="W52" s="8">
        <v>1.6199999999999999E-2</v>
      </c>
      <c r="X52" s="12" t="str">
        <f t="shared" si="8"/>
        <v>83.1 (80.9 ~ 85.4)</v>
      </c>
      <c r="Y52" s="8">
        <v>0.69159999999999999</v>
      </c>
      <c r="Z52" s="8">
        <v>0.66159999999999997</v>
      </c>
      <c r="AA52" s="8">
        <v>0.72150000000000003</v>
      </c>
      <c r="AB52" s="8">
        <v>2.1600000000000001E-2</v>
      </c>
      <c r="AC52" s="12" t="str">
        <f t="shared" si="9"/>
        <v>69.2 (66.2 ~ 72.2)</v>
      </c>
    </row>
    <row r="53" spans="1:29" x14ac:dyDescent="0.25">
      <c r="A53" s="8" t="s">
        <v>374</v>
      </c>
      <c r="B53" s="8" t="s">
        <v>124</v>
      </c>
      <c r="C53" s="8" t="s">
        <v>182</v>
      </c>
      <c r="D53" s="8">
        <v>5</v>
      </c>
      <c r="E53" s="8">
        <v>0.68869999999999998</v>
      </c>
      <c r="F53" s="8">
        <v>0.66259999999999997</v>
      </c>
      <c r="G53" s="8">
        <v>0.71479999999999999</v>
      </c>
      <c r="H53" s="8">
        <v>1.8800000000000001E-2</v>
      </c>
      <c r="I53" s="12" t="str">
        <f t="shared" si="5"/>
        <v>68.9 (66.3 ~ 71.5)</v>
      </c>
      <c r="J53" s="8">
        <v>0.60109999999999997</v>
      </c>
      <c r="K53" s="8">
        <v>0.54759999999999998</v>
      </c>
      <c r="L53" s="8">
        <v>0.65469999999999995</v>
      </c>
      <c r="M53" s="8">
        <v>3.8600000000000002E-2</v>
      </c>
      <c r="N53" s="12" t="str">
        <f t="shared" si="6"/>
        <v>60.1 (54.8 ~ 65.5)</v>
      </c>
      <c r="O53" s="8">
        <v>0.66759999999999997</v>
      </c>
      <c r="P53" s="8">
        <v>0.63400000000000001</v>
      </c>
      <c r="Q53" s="8">
        <v>0.70120000000000005</v>
      </c>
      <c r="R53" s="8">
        <v>2.4199999999999999E-2</v>
      </c>
      <c r="S53" s="12" t="str">
        <f t="shared" si="7"/>
        <v>66.8 (63.4 ~ 70.1)</v>
      </c>
      <c r="T53" s="8">
        <v>0.80369999999999997</v>
      </c>
      <c r="U53" s="8">
        <v>0.77529999999999999</v>
      </c>
      <c r="V53" s="8">
        <v>0.83209999999999995</v>
      </c>
      <c r="W53" s="8">
        <v>2.0500000000000001E-2</v>
      </c>
      <c r="X53" s="12" t="str">
        <f t="shared" si="8"/>
        <v>80.4 (77.5 ~ 83.2)</v>
      </c>
      <c r="Y53" s="8">
        <v>0.64880000000000004</v>
      </c>
      <c r="Z53" s="8">
        <v>0.61450000000000005</v>
      </c>
      <c r="AA53" s="8">
        <v>0.68310000000000004</v>
      </c>
      <c r="AB53" s="8">
        <v>2.47E-2</v>
      </c>
      <c r="AC53" s="12" t="str">
        <f t="shared" si="9"/>
        <v>64.9 (61.5 ~ 68.3)</v>
      </c>
    </row>
    <row r="54" spans="1:29" x14ac:dyDescent="0.25">
      <c r="A54" s="8" t="s">
        <v>373</v>
      </c>
      <c r="B54" s="8" t="s">
        <v>185</v>
      </c>
      <c r="C54" s="8" t="s">
        <v>182</v>
      </c>
      <c r="D54" s="8">
        <v>5</v>
      </c>
      <c r="E54" s="8">
        <v>0.71550000000000002</v>
      </c>
      <c r="F54" s="8">
        <v>0.69379999999999997</v>
      </c>
      <c r="G54" s="8">
        <v>0.73719999999999997</v>
      </c>
      <c r="H54" s="8">
        <v>1.5599999999999999E-2</v>
      </c>
      <c r="I54" s="12" t="str">
        <f t="shared" si="5"/>
        <v>71.6 (69.4 ~ 73.7)</v>
      </c>
      <c r="J54" s="8">
        <v>0.5897</v>
      </c>
      <c r="K54" s="8">
        <v>0.56530000000000002</v>
      </c>
      <c r="L54" s="8">
        <v>0.61419999999999997</v>
      </c>
      <c r="M54" s="8">
        <v>1.7600000000000001E-2</v>
      </c>
      <c r="N54" s="12" t="str">
        <f t="shared" si="6"/>
        <v>59 (56.5 ~ 61.4)</v>
      </c>
      <c r="O54" s="8">
        <v>0.67179999999999995</v>
      </c>
      <c r="P54" s="8">
        <v>0.65010000000000001</v>
      </c>
      <c r="Q54" s="8">
        <v>0.69350000000000001</v>
      </c>
      <c r="R54" s="8">
        <v>1.5599999999999999E-2</v>
      </c>
      <c r="S54" s="12" t="str">
        <f t="shared" si="7"/>
        <v>67.2 (65 ~ 69.4)</v>
      </c>
      <c r="T54" s="8">
        <v>0.81369999999999998</v>
      </c>
      <c r="U54" s="8">
        <v>0.79559999999999997</v>
      </c>
      <c r="V54" s="8">
        <v>0.83169999999999999</v>
      </c>
      <c r="W54" s="8">
        <v>1.2999999999999999E-2</v>
      </c>
      <c r="X54" s="12" t="str">
        <f t="shared" si="8"/>
        <v>81.4 (79.6 ~ 83.2)</v>
      </c>
      <c r="Y54" s="8">
        <v>0.66590000000000005</v>
      </c>
      <c r="Z54" s="8">
        <v>0.63980000000000004</v>
      </c>
      <c r="AA54" s="8">
        <v>0.69210000000000005</v>
      </c>
      <c r="AB54" s="8">
        <v>1.8800000000000001E-2</v>
      </c>
      <c r="AC54" s="12" t="str">
        <f t="shared" si="9"/>
        <v>66.6 (64 ~ 69.2)</v>
      </c>
    </row>
    <row r="55" spans="1:29" x14ac:dyDescent="0.25">
      <c r="A55" s="8" t="s">
        <v>374</v>
      </c>
      <c r="B55" s="8" t="s">
        <v>185</v>
      </c>
      <c r="C55" s="8" t="s">
        <v>182</v>
      </c>
      <c r="D55" s="8">
        <v>5</v>
      </c>
      <c r="E55" s="8">
        <v>0.71879999999999999</v>
      </c>
      <c r="F55" s="8">
        <v>0.70540000000000003</v>
      </c>
      <c r="G55" s="8">
        <v>0.73229999999999995</v>
      </c>
      <c r="H55" s="8">
        <v>9.7000000000000003E-3</v>
      </c>
      <c r="I55" s="12" t="str">
        <f t="shared" si="5"/>
        <v>71.9 (70.5 ~ 73.2)</v>
      </c>
      <c r="J55" s="8">
        <v>0.60850000000000004</v>
      </c>
      <c r="K55" s="8">
        <v>0.58220000000000005</v>
      </c>
      <c r="L55" s="8">
        <v>0.63480000000000003</v>
      </c>
      <c r="M55" s="8">
        <v>1.9E-2</v>
      </c>
      <c r="N55" s="12" t="str">
        <f t="shared" si="6"/>
        <v>60.9 (58.2 ~ 63.5)</v>
      </c>
      <c r="O55" s="8">
        <v>0.68389999999999995</v>
      </c>
      <c r="P55" s="8">
        <v>0.66690000000000005</v>
      </c>
      <c r="Q55" s="8">
        <v>0.70079999999999998</v>
      </c>
      <c r="R55" s="8">
        <v>1.2200000000000001E-2</v>
      </c>
      <c r="S55" s="12" t="str">
        <f t="shared" si="7"/>
        <v>68.4 (66.7 ~ 70.1)</v>
      </c>
      <c r="T55" s="8">
        <v>0.82679999999999998</v>
      </c>
      <c r="U55" s="8">
        <v>0.7974</v>
      </c>
      <c r="V55" s="8">
        <v>0.85629999999999995</v>
      </c>
      <c r="W55" s="8">
        <v>2.12E-2</v>
      </c>
      <c r="X55" s="12" t="str">
        <f t="shared" si="8"/>
        <v>82.7 (79.7 ~ 85.6)</v>
      </c>
      <c r="Y55" s="8">
        <v>0.6804</v>
      </c>
      <c r="Z55" s="8">
        <v>0.63249999999999995</v>
      </c>
      <c r="AA55" s="8">
        <v>0.72829999999999995</v>
      </c>
      <c r="AB55" s="8">
        <v>3.4500000000000003E-2</v>
      </c>
      <c r="AC55" s="12" t="str">
        <f t="shared" si="9"/>
        <v>68 (63.3 ~ 72.8)</v>
      </c>
    </row>
    <row r="56" spans="1:29" x14ac:dyDescent="0.25">
      <c r="A56" s="8" t="s">
        <v>371</v>
      </c>
      <c r="B56" s="8" t="s">
        <v>124</v>
      </c>
      <c r="C56" s="8" t="s">
        <v>184</v>
      </c>
      <c r="D56" s="8">
        <v>5</v>
      </c>
      <c r="E56" s="8">
        <v>0.68620000000000003</v>
      </c>
      <c r="F56" s="8">
        <v>0.66300000000000003</v>
      </c>
      <c r="G56" s="8">
        <v>0.70940000000000003</v>
      </c>
      <c r="H56" s="8">
        <v>1.67E-2</v>
      </c>
      <c r="I56" s="12" t="str">
        <f t="shared" si="5"/>
        <v>68.6 (66.3 ~ 70.9)</v>
      </c>
      <c r="J56" s="8">
        <v>0.56520000000000004</v>
      </c>
      <c r="K56" s="8">
        <v>0.52829999999999999</v>
      </c>
      <c r="L56" s="8">
        <v>0.60219999999999996</v>
      </c>
      <c r="M56" s="8">
        <v>2.6599999999999999E-2</v>
      </c>
      <c r="N56" s="12" t="str">
        <f t="shared" si="6"/>
        <v>56.5 (52.8 ~ 60.2)</v>
      </c>
      <c r="O56" s="8">
        <v>0.64810000000000001</v>
      </c>
      <c r="P56" s="8">
        <v>0.62060000000000004</v>
      </c>
      <c r="Q56" s="8">
        <v>0.67549999999999999</v>
      </c>
      <c r="R56" s="8">
        <v>1.9800000000000002E-2</v>
      </c>
      <c r="S56" s="12" t="str">
        <f t="shared" si="7"/>
        <v>64.8 (62.1 ~ 67.6)</v>
      </c>
      <c r="T56" s="8">
        <v>0.79949999999999999</v>
      </c>
      <c r="U56" s="8">
        <v>0.77500000000000002</v>
      </c>
      <c r="V56" s="8">
        <v>0.82399999999999995</v>
      </c>
      <c r="W56" s="8">
        <v>1.77E-2</v>
      </c>
      <c r="X56" s="12" t="str">
        <f t="shared" si="8"/>
        <v>80 (77.5 ~ 82.4)</v>
      </c>
      <c r="Y56" s="8">
        <v>0.63619999999999999</v>
      </c>
      <c r="Z56" s="8">
        <v>0.60389999999999999</v>
      </c>
      <c r="AA56" s="8">
        <v>0.66839999999999999</v>
      </c>
      <c r="AB56" s="8">
        <v>2.3199999999999998E-2</v>
      </c>
      <c r="AC56" s="12" t="str">
        <f t="shared" si="9"/>
        <v>63.6 (60.4 ~ 66.8)</v>
      </c>
    </row>
    <row r="57" spans="1:29" x14ac:dyDescent="0.25">
      <c r="A57" s="8" t="s">
        <v>375</v>
      </c>
      <c r="B57" s="8" t="s">
        <v>124</v>
      </c>
      <c r="C57" s="8" t="s">
        <v>182</v>
      </c>
      <c r="D57" s="8">
        <v>5</v>
      </c>
      <c r="E57" s="8">
        <v>0.68869999999999998</v>
      </c>
      <c r="F57" s="8">
        <v>0.65639999999999998</v>
      </c>
      <c r="G57" s="8">
        <v>0.72109999999999996</v>
      </c>
      <c r="H57" s="8">
        <v>2.3300000000000001E-2</v>
      </c>
      <c r="I57" s="12" t="str">
        <f t="shared" si="5"/>
        <v>68.9 (65.6 ~ 72.1)</v>
      </c>
      <c r="J57" s="8">
        <v>0.60070000000000001</v>
      </c>
      <c r="K57" s="8">
        <v>0.55730000000000002</v>
      </c>
      <c r="L57" s="8">
        <v>0.64400000000000002</v>
      </c>
      <c r="M57" s="8">
        <v>3.1199999999999999E-2</v>
      </c>
      <c r="N57" s="12" t="str">
        <f t="shared" si="6"/>
        <v>60.1 (55.7 ~ 64.4)</v>
      </c>
      <c r="O57" s="8">
        <v>0.66649999999999998</v>
      </c>
      <c r="P57" s="8">
        <v>0.63190000000000002</v>
      </c>
      <c r="Q57" s="8">
        <v>0.70109999999999995</v>
      </c>
      <c r="R57" s="8">
        <v>2.4899999999999999E-2</v>
      </c>
      <c r="S57" s="12" t="str">
        <f t="shared" si="7"/>
        <v>66.7 (63.2 ~ 70.1)</v>
      </c>
      <c r="T57" s="8">
        <v>0.79849999999999999</v>
      </c>
      <c r="U57" s="8">
        <v>0.77539999999999998</v>
      </c>
      <c r="V57" s="8">
        <v>0.82150000000000001</v>
      </c>
      <c r="W57" s="8">
        <v>1.66E-2</v>
      </c>
      <c r="X57" s="12" t="str">
        <f t="shared" si="8"/>
        <v>79.9 (77.5 ~ 82.2)</v>
      </c>
      <c r="Y57" s="8">
        <v>0.65259999999999996</v>
      </c>
      <c r="Z57" s="8">
        <v>0.62339999999999995</v>
      </c>
      <c r="AA57" s="8">
        <v>0.68169999999999997</v>
      </c>
      <c r="AB57" s="8">
        <v>2.1000000000000001E-2</v>
      </c>
      <c r="AC57" s="12" t="str">
        <f t="shared" si="9"/>
        <v>65.3 (62.3 ~ 68.2)</v>
      </c>
    </row>
    <row r="58" spans="1:29" x14ac:dyDescent="0.25">
      <c r="A58" s="8" t="s">
        <v>371</v>
      </c>
      <c r="B58" s="8" t="s">
        <v>124</v>
      </c>
      <c r="C58" s="8" t="s">
        <v>182</v>
      </c>
      <c r="D58" s="8">
        <v>5</v>
      </c>
      <c r="E58" s="8">
        <v>0.68200000000000005</v>
      </c>
      <c r="F58" s="8">
        <v>0.65429999999999999</v>
      </c>
      <c r="G58" s="8">
        <v>0.7097</v>
      </c>
      <c r="H58" s="8">
        <v>0.02</v>
      </c>
      <c r="I58" s="12" t="str">
        <f t="shared" si="5"/>
        <v>68.2 (65.4 ~ 71)</v>
      </c>
      <c r="J58" s="8">
        <v>0.59470000000000001</v>
      </c>
      <c r="K58" s="8">
        <v>0.5494</v>
      </c>
      <c r="L58" s="8">
        <v>0.6401</v>
      </c>
      <c r="M58" s="8">
        <v>3.27E-2</v>
      </c>
      <c r="N58" s="12" t="str">
        <f t="shared" si="6"/>
        <v>59.5 (54.9 ~ 64)</v>
      </c>
      <c r="O58" s="8">
        <v>0.66379999999999995</v>
      </c>
      <c r="P58" s="8">
        <v>0.63400000000000001</v>
      </c>
      <c r="Q58" s="8">
        <v>0.69359999999999999</v>
      </c>
      <c r="R58" s="8">
        <v>2.1499999999999998E-2</v>
      </c>
      <c r="S58" s="12" t="str">
        <f t="shared" si="7"/>
        <v>66.4 (63.4 ~ 69.4)</v>
      </c>
      <c r="T58" s="8">
        <v>0.79830000000000001</v>
      </c>
      <c r="U58" s="8">
        <v>0.77459999999999996</v>
      </c>
      <c r="V58" s="8">
        <v>0.82189999999999996</v>
      </c>
      <c r="W58" s="8">
        <v>1.7000000000000001E-2</v>
      </c>
      <c r="X58" s="12" t="str">
        <f t="shared" si="8"/>
        <v>79.8 (77.5 ~ 82.2)</v>
      </c>
      <c r="Y58" s="8">
        <v>0.65159999999999996</v>
      </c>
      <c r="Z58" s="8">
        <v>0.62590000000000001</v>
      </c>
      <c r="AA58" s="8">
        <v>0.67730000000000001</v>
      </c>
      <c r="AB58" s="8">
        <v>1.8499999999999999E-2</v>
      </c>
      <c r="AC58" s="12" t="str">
        <f t="shared" si="9"/>
        <v>65.2 (62.6 ~ 67.7)</v>
      </c>
    </row>
    <row r="59" spans="1:29" x14ac:dyDescent="0.25">
      <c r="A59" s="8" t="s">
        <v>373</v>
      </c>
      <c r="B59" s="8" t="s">
        <v>124</v>
      </c>
      <c r="C59" s="8" t="s">
        <v>182</v>
      </c>
      <c r="D59" s="8">
        <v>5</v>
      </c>
      <c r="E59" s="8">
        <v>0.68789999999999996</v>
      </c>
      <c r="F59" s="8">
        <v>0.67589999999999995</v>
      </c>
      <c r="G59" s="8">
        <v>0.69979999999999998</v>
      </c>
      <c r="H59" s="8">
        <v>8.6E-3</v>
      </c>
      <c r="I59" s="12" t="str">
        <f t="shared" si="5"/>
        <v>68.8 (67.6 ~ 70)</v>
      </c>
      <c r="J59" s="8">
        <v>0.5806</v>
      </c>
      <c r="K59" s="8">
        <v>0.5524</v>
      </c>
      <c r="L59" s="8">
        <v>0.60880000000000001</v>
      </c>
      <c r="M59" s="8">
        <v>2.0299999999999999E-2</v>
      </c>
      <c r="N59" s="12" t="str">
        <f t="shared" si="6"/>
        <v>58.1 (55.2 ~ 60.9)</v>
      </c>
      <c r="O59" s="8">
        <v>0.65800000000000003</v>
      </c>
      <c r="P59" s="8">
        <v>0.64380000000000004</v>
      </c>
      <c r="Q59" s="8">
        <v>0.67220000000000002</v>
      </c>
      <c r="R59" s="8">
        <v>1.0200000000000001E-2</v>
      </c>
      <c r="S59" s="12" t="str">
        <f t="shared" si="7"/>
        <v>65.8 (64.4 ~ 67.2)</v>
      </c>
      <c r="T59" s="8">
        <v>0.79579999999999995</v>
      </c>
      <c r="U59" s="8">
        <v>0.76990000000000003</v>
      </c>
      <c r="V59" s="8">
        <v>0.82169999999999999</v>
      </c>
      <c r="W59" s="8">
        <v>1.8700000000000001E-2</v>
      </c>
      <c r="X59" s="12" t="str">
        <f t="shared" si="8"/>
        <v>79.6 (77 ~ 82.2)</v>
      </c>
      <c r="Y59" s="8">
        <v>0.63939999999999997</v>
      </c>
      <c r="Z59" s="8">
        <v>0.60899999999999999</v>
      </c>
      <c r="AA59" s="8">
        <v>0.66990000000000005</v>
      </c>
      <c r="AB59" s="8">
        <v>2.1899999999999999E-2</v>
      </c>
      <c r="AC59" s="12" t="str">
        <f t="shared" si="9"/>
        <v>63.9 (60.9 ~ 67)</v>
      </c>
    </row>
    <row r="60" spans="1:29" x14ac:dyDescent="0.25">
      <c r="A60" s="8" t="s">
        <v>372</v>
      </c>
      <c r="B60" s="8" t="s">
        <v>124</v>
      </c>
      <c r="C60" s="8" t="s">
        <v>182</v>
      </c>
      <c r="D60" s="8">
        <v>5</v>
      </c>
      <c r="E60" s="8">
        <v>0.69369999999999998</v>
      </c>
      <c r="F60" s="8">
        <v>0.66900000000000004</v>
      </c>
      <c r="G60" s="8">
        <v>0.71840000000000004</v>
      </c>
      <c r="H60" s="8">
        <v>1.78E-2</v>
      </c>
      <c r="I60" s="12" t="str">
        <f t="shared" si="5"/>
        <v>69.4 (66.9 ~ 71.8)</v>
      </c>
      <c r="J60" s="8">
        <v>0.59670000000000001</v>
      </c>
      <c r="K60" s="8">
        <v>0.55810000000000004</v>
      </c>
      <c r="L60" s="8">
        <v>0.63529999999999998</v>
      </c>
      <c r="M60" s="8">
        <v>2.7799999999999998E-2</v>
      </c>
      <c r="N60" s="12" t="str">
        <f t="shared" si="6"/>
        <v>59.7 (55.8 ~ 63.5)</v>
      </c>
      <c r="O60" s="8">
        <v>0.66990000000000005</v>
      </c>
      <c r="P60" s="8">
        <v>0.63959999999999995</v>
      </c>
      <c r="Q60" s="8">
        <v>0.70030000000000003</v>
      </c>
      <c r="R60" s="8">
        <v>2.1899999999999999E-2</v>
      </c>
      <c r="S60" s="12" t="str">
        <f t="shared" si="7"/>
        <v>67 (64 ~ 70)</v>
      </c>
      <c r="T60" s="8">
        <v>0.79530000000000001</v>
      </c>
      <c r="U60" s="8">
        <v>0.77049999999999996</v>
      </c>
      <c r="V60" s="8">
        <v>0.82</v>
      </c>
      <c r="W60" s="8">
        <v>1.78E-2</v>
      </c>
      <c r="X60" s="12" t="str">
        <f t="shared" si="8"/>
        <v>79.5 (77.1 ~ 82)</v>
      </c>
      <c r="Y60" s="8">
        <v>0.64390000000000003</v>
      </c>
      <c r="Z60" s="8">
        <v>0.61650000000000005</v>
      </c>
      <c r="AA60" s="8">
        <v>0.6714</v>
      </c>
      <c r="AB60" s="8">
        <v>1.9800000000000002E-2</v>
      </c>
      <c r="AC60" s="12" t="str">
        <f t="shared" si="9"/>
        <v>64.4 (61.7 ~ 67.1)</v>
      </c>
    </row>
    <row r="61" spans="1:29" x14ac:dyDescent="0.25">
      <c r="A61" s="8" t="s">
        <v>374</v>
      </c>
      <c r="B61" s="8" t="s">
        <v>124</v>
      </c>
      <c r="C61" s="8" t="s">
        <v>184</v>
      </c>
      <c r="D61" s="8">
        <v>5</v>
      </c>
      <c r="E61" s="8">
        <v>0.67869999999999997</v>
      </c>
      <c r="F61" s="8">
        <v>0.64770000000000005</v>
      </c>
      <c r="G61" s="8">
        <v>0.7097</v>
      </c>
      <c r="H61" s="8">
        <v>2.23E-2</v>
      </c>
      <c r="I61" s="12" t="str">
        <f t="shared" si="5"/>
        <v>67.9 (64.8 ~ 71)</v>
      </c>
      <c r="J61" s="8">
        <v>0.56799999999999995</v>
      </c>
      <c r="K61" s="8">
        <v>0.52339999999999998</v>
      </c>
      <c r="L61" s="8">
        <v>0.61250000000000004</v>
      </c>
      <c r="M61" s="8">
        <v>3.2099999999999997E-2</v>
      </c>
      <c r="N61" s="12" t="str">
        <f t="shared" si="6"/>
        <v>56.8 (52.3 ~ 61.3)</v>
      </c>
      <c r="O61" s="8">
        <v>0.64439999999999997</v>
      </c>
      <c r="P61" s="8">
        <v>0.60950000000000004</v>
      </c>
      <c r="Q61" s="8">
        <v>0.67930000000000001</v>
      </c>
      <c r="R61" s="8">
        <v>2.5100000000000001E-2</v>
      </c>
      <c r="S61" s="12" t="str">
        <f t="shared" si="7"/>
        <v>64.4 (61 ~ 67.9)</v>
      </c>
      <c r="T61" s="8">
        <v>0.79390000000000005</v>
      </c>
      <c r="U61" s="8">
        <v>0.76349999999999996</v>
      </c>
      <c r="V61" s="8">
        <v>0.82430000000000003</v>
      </c>
      <c r="W61" s="8">
        <v>2.1899999999999999E-2</v>
      </c>
      <c r="X61" s="12" t="str">
        <f t="shared" si="8"/>
        <v>79.4 (76.4 ~ 82.4)</v>
      </c>
      <c r="Y61" s="8">
        <v>0.63029999999999997</v>
      </c>
      <c r="Z61" s="8">
        <v>0.59709999999999996</v>
      </c>
      <c r="AA61" s="8">
        <v>0.66359999999999997</v>
      </c>
      <c r="AB61" s="8">
        <v>2.4E-2</v>
      </c>
      <c r="AC61" s="12" t="str">
        <f t="shared" si="9"/>
        <v>63 (59.7 ~ 66.4)</v>
      </c>
    </row>
    <row r="62" spans="1:29" x14ac:dyDescent="0.25">
      <c r="A62" s="8" t="s">
        <v>373</v>
      </c>
      <c r="B62" s="8" t="s">
        <v>124</v>
      </c>
      <c r="C62" s="8" t="s">
        <v>184</v>
      </c>
      <c r="D62" s="8">
        <v>5</v>
      </c>
      <c r="E62" s="8">
        <v>0.6895</v>
      </c>
      <c r="F62" s="8">
        <v>0.65400000000000003</v>
      </c>
      <c r="G62" s="8">
        <v>0.72499999999999998</v>
      </c>
      <c r="H62" s="8">
        <v>2.5600000000000001E-2</v>
      </c>
      <c r="I62" s="12" t="str">
        <f t="shared" si="5"/>
        <v>69 (65.4 ~ 72.5)</v>
      </c>
      <c r="J62" s="8">
        <v>0.55020000000000002</v>
      </c>
      <c r="K62" s="8">
        <v>0.50280000000000002</v>
      </c>
      <c r="L62" s="8">
        <v>0.59760000000000002</v>
      </c>
      <c r="M62" s="8">
        <v>3.4099999999999998E-2</v>
      </c>
      <c r="N62" s="12" t="str">
        <f t="shared" si="6"/>
        <v>55 (50.3 ~ 59.8)</v>
      </c>
      <c r="O62" s="8">
        <v>0.64019999999999999</v>
      </c>
      <c r="P62" s="8">
        <v>0.59950000000000003</v>
      </c>
      <c r="Q62" s="8">
        <v>0.68089999999999995</v>
      </c>
      <c r="R62" s="8">
        <v>2.93E-2</v>
      </c>
      <c r="S62" s="12" t="str">
        <f t="shared" si="7"/>
        <v>64 (60 ~ 68.1)</v>
      </c>
      <c r="T62" s="8">
        <v>0.7923</v>
      </c>
      <c r="U62" s="8">
        <v>0.76839999999999997</v>
      </c>
      <c r="V62" s="8">
        <v>0.81630000000000003</v>
      </c>
      <c r="W62" s="8">
        <v>1.7299999999999999E-2</v>
      </c>
      <c r="X62" s="12" t="str">
        <f t="shared" si="8"/>
        <v>79.2 (76.8 ~ 81.6)</v>
      </c>
      <c r="Y62" s="8">
        <v>0.63260000000000005</v>
      </c>
      <c r="Z62" s="8">
        <v>0.60440000000000005</v>
      </c>
      <c r="AA62" s="8">
        <v>0.66090000000000004</v>
      </c>
      <c r="AB62" s="8">
        <v>2.0400000000000001E-2</v>
      </c>
      <c r="AC62" s="12" t="str">
        <f t="shared" si="9"/>
        <v>63.3 (60.4 ~ 66.1)</v>
      </c>
    </row>
    <row r="63" spans="1:29" x14ac:dyDescent="0.25">
      <c r="A63" s="8" t="s">
        <v>372</v>
      </c>
      <c r="B63" s="8" t="s">
        <v>124</v>
      </c>
      <c r="C63" s="8" t="s">
        <v>184</v>
      </c>
      <c r="D63" s="8">
        <v>5</v>
      </c>
      <c r="E63" s="8">
        <v>0.69540000000000002</v>
      </c>
      <c r="F63" s="8">
        <v>0.68610000000000004</v>
      </c>
      <c r="G63" s="8">
        <v>0.70469999999999999</v>
      </c>
      <c r="H63" s="8">
        <v>6.7000000000000002E-3</v>
      </c>
      <c r="I63" s="12" t="str">
        <f t="shared" si="5"/>
        <v>69.5 (68.6 ~ 70.5)</v>
      </c>
      <c r="J63" s="8">
        <v>0.58050000000000002</v>
      </c>
      <c r="K63" s="8">
        <v>0.56140000000000001</v>
      </c>
      <c r="L63" s="8">
        <v>0.59960000000000002</v>
      </c>
      <c r="M63" s="8">
        <v>1.38E-2</v>
      </c>
      <c r="N63" s="12" t="str">
        <f t="shared" si="6"/>
        <v>58.1 (56.1 ~ 60)</v>
      </c>
      <c r="O63" s="8">
        <v>0.65969999999999995</v>
      </c>
      <c r="P63" s="8">
        <v>0.64870000000000005</v>
      </c>
      <c r="Q63" s="8">
        <v>0.67079999999999995</v>
      </c>
      <c r="R63" s="8">
        <v>8.0000000000000002E-3</v>
      </c>
      <c r="S63" s="12" t="str">
        <f t="shared" si="7"/>
        <v>66 (64.9 ~ 67.1)</v>
      </c>
      <c r="T63" s="8">
        <v>0.78990000000000005</v>
      </c>
      <c r="U63" s="8">
        <v>0.77070000000000005</v>
      </c>
      <c r="V63" s="8">
        <v>0.80910000000000004</v>
      </c>
      <c r="W63" s="8">
        <v>1.38E-2</v>
      </c>
      <c r="X63" s="12" t="str">
        <f t="shared" si="8"/>
        <v>79 (77.1 ~ 80.9)</v>
      </c>
      <c r="Y63" s="8">
        <v>0.62909999999999999</v>
      </c>
      <c r="Z63" s="8">
        <v>0.60680000000000001</v>
      </c>
      <c r="AA63" s="8">
        <v>0.65129999999999999</v>
      </c>
      <c r="AB63" s="8">
        <v>1.6E-2</v>
      </c>
      <c r="AC63" s="12" t="str">
        <f t="shared" si="9"/>
        <v>62.9 (60.7 ~ 65.1)</v>
      </c>
    </row>
    <row r="64" spans="1:29" x14ac:dyDescent="0.25">
      <c r="A64" s="8" t="s">
        <v>373</v>
      </c>
      <c r="B64" s="8" t="s">
        <v>124</v>
      </c>
      <c r="C64" s="8" t="s">
        <v>183</v>
      </c>
      <c r="D64" s="8">
        <v>5</v>
      </c>
      <c r="E64" s="8">
        <v>0.61170000000000002</v>
      </c>
      <c r="F64" s="8">
        <v>0.58440000000000003</v>
      </c>
      <c r="G64" s="8">
        <v>0.6391</v>
      </c>
      <c r="H64" s="8">
        <v>1.9699999999999999E-2</v>
      </c>
      <c r="I64" s="12" t="str">
        <f t="shared" si="5"/>
        <v>61.2 (58.4 ~ 63.9)</v>
      </c>
      <c r="J64" s="8">
        <v>0.57950000000000002</v>
      </c>
      <c r="K64" s="8">
        <v>0.56659999999999999</v>
      </c>
      <c r="L64" s="8">
        <v>0.59240000000000004</v>
      </c>
      <c r="M64" s="8">
        <v>9.2999999999999992E-3</v>
      </c>
      <c r="N64" s="12" t="str">
        <f t="shared" si="6"/>
        <v>58 (56.7 ~ 59.2)</v>
      </c>
      <c r="O64" s="8">
        <v>0.62780000000000002</v>
      </c>
      <c r="P64" s="8">
        <v>0.6069</v>
      </c>
      <c r="Q64" s="8">
        <v>0.64870000000000005</v>
      </c>
      <c r="R64" s="8">
        <v>1.5100000000000001E-2</v>
      </c>
      <c r="S64" s="12" t="str">
        <f t="shared" si="7"/>
        <v>62.8 (60.7 ~ 64.9)</v>
      </c>
      <c r="T64" s="8">
        <v>0.78610000000000002</v>
      </c>
      <c r="U64" s="8">
        <v>0.76939999999999997</v>
      </c>
      <c r="V64" s="8">
        <v>0.80289999999999995</v>
      </c>
      <c r="W64" s="8">
        <v>1.21E-2</v>
      </c>
      <c r="X64" s="12" t="str">
        <f t="shared" si="8"/>
        <v>78.6 (76.9 ~ 80.3)</v>
      </c>
      <c r="Y64" s="8">
        <v>0.63180000000000003</v>
      </c>
      <c r="Z64" s="8">
        <v>0.61060000000000003</v>
      </c>
      <c r="AA64" s="8">
        <v>0.65310000000000001</v>
      </c>
      <c r="AB64" s="8">
        <v>1.5299999999999999E-2</v>
      </c>
      <c r="AC64" s="12" t="str">
        <f t="shared" si="9"/>
        <v>63.2 (61.1 ~ 65.3)</v>
      </c>
    </row>
    <row r="65" spans="1:29" x14ac:dyDescent="0.25">
      <c r="A65" s="8" t="s">
        <v>369</v>
      </c>
      <c r="B65" s="8" t="s">
        <v>124</v>
      </c>
      <c r="C65" s="8" t="s">
        <v>184</v>
      </c>
      <c r="D65" s="8">
        <v>5</v>
      </c>
      <c r="E65" s="8">
        <v>0.68620000000000003</v>
      </c>
      <c r="F65" s="8">
        <v>0.65510000000000002</v>
      </c>
      <c r="G65" s="8">
        <v>0.71740000000000004</v>
      </c>
      <c r="H65" s="8">
        <v>2.24E-2</v>
      </c>
      <c r="I65" s="12" t="str">
        <f t="shared" si="5"/>
        <v>68.6 (65.5 ~ 71.7)</v>
      </c>
      <c r="J65" s="8">
        <v>0.56850000000000001</v>
      </c>
      <c r="K65" s="8">
        <v>0.53439999999999999</v>
      </c>
      <c r="L65" s="8">
        <v>0.60270000000000001</v>
      </c>
      <c r="M65" s="8">
        <v>2.46E-2</v>
      </c>
      <c r="N65" s="12" t="str">
        <f t="shared" si="6"/>
        <v>56.9 (53.4 ~ 60.3)</v>
      </c>
      <c r="O65" s="8">
        <v>0.64859999999999995</v>
      </c>
      <c r="P65" s="8">
        <v>0.61509999999999998</v>
      </c>
      <c r="Q65" s="8">
        <v>0.68210000000000004</v>
      </c>
      <c r="R65" s="8">
        <v>2.41E-2</v>
      </c>
      <c r="S65" s="12" t="str">
        <f t="shared" si="7"/>
        <v>64.9 (61.5 ~ 68.2)</v>
      </c>
      <c r="T65" s="8">
        <v>0.78569999999999995</v>
      </c>
      <c r="U65" s="8">
        <v>0.76280000000000003</v>
      </c>
      <c r="V65" s="8">
        <v>0.80869999999999997</v>
      </c>
      <c r="W65" s="8">
        <v>1.6500000000000001E-2</v>
      </c>
      <c r="X65" s="12" t="str">
        <f t="shared" si="8"/>
        <v>78.6 (76.3 ~ 80.9)</v>
      </c>
      <c r="Y65" s="8">
        <v>0.627</v>
      </c>
      <c r="Z65" s="8">
        <v>0.59519999999999995</v>
      </c>
      <c r="AA65" s="8">
        <v>0.65880000000000005</v>
      </c>
      <c r="AB65" s="8">
        <v>2.29E-2</v>
      </c>
      <c r="AC65" s="12" t="str">
        <f t="shared" si="9"/>
        <v>62.7 (59.5 ~ 65.9)</v>
      </c>
    </row>
    <row r="66" spans="1:29" x14ac:dyDescent="0.25">
      <c r="A66" s="8" t="s">
        <v>371</v>
      </c>
      <c r="B66" s="8" t="s">
        <v>124</v>
      </c>
      <c r="C66" s="8" t="s">
        <v>183</v>
      </c>
      <c r="D66" s="8">
        <v>5</v>
      </c>
      <c r="E66" s="8">
        <v>0.58909999999999996</v>
      </c>
      <c r="F66" s="8">
        <v>0.56010000000000004</v>
      </c>
      <c r="G66" s="8">
        <v>0.61809999999999998</v>
      </c>
      <c r="H66" s="8">
        <v>2.0899999999999998E-2</v>
      </c>
      <c r="I66" s="12" t="str">
        <f t="shared" si="5"/>
        <v>58.9 (56 ~ 61.8)</v>
      </c>
      <c r="J66" s="8">
        <v>0.56730000000000003</v>
      </c>
      <c r="K66" s="8">
        <v>0.5393</v>
      </c>
      <c r="L66" s="8">
        <v>0.59530000000000005</v>
      </c>
      <c r="M66" s="8">
        <v>2.0199999999999999E-2</v>
      </c>
      <c r="N66" s="12" t="str">
        <f t="shared" si="6"/>
        <v>56.7 (53.9 ~ 59.5)</v>
      </c>
      <c r="O66" s="8">
        <v>0.6069</v>
      </c>
      <c r="P66" s="8">
        <v>0.58089999999999997</v>
      </c>
      <c r="Q66" s="8">
        <v>0.63280000000000003</v>
      </c>
      <c r="R66" s="8">
        <v>1.8700000000000001E-2</v>
      </c>
      <c r="S66" s="12" t="str">
        <f t="shared" si="7"/>
        <v>60.7 (58.1 ~ 63.3)</v>
      </c>
      <c r="T66" s="8">
        <v>0.78490000000000004</v>
      </c>
      <c r="U66" s="8">
        <v>0.76319999999999999</v>
      </c>
      <c r="V66" s="8">
        <v>0.80649999999999999</v>
      </c>
      <c r="W66" s="8">
        <v>1.5599999999999999E-2</v>
      </c>
      <c r="X66" s="12" t="str">
        <f t="shared" si="8"/>
        <v>78.5 (76.3 ~ 80.7)</v>
      </c>
      <c r="Y66" s="8">
        <v>0.62980000000000003</v>
      </c>
      <c r="Z66" s="8">
        <v>0.60629999999999995</v>
      </c>
      <c r="AA66" s="8">
        <v>0.65339999999999998</v>
      </c>
      <c r="AB66" s="8">
        <v>1.6899999999999998E-2</v>
      </c>
      <c r="AC66" s="12" t="str">
        <f t="shared" si="9"/>
        <v>63 (60.6 ~ 65.3)</v>
      </c>
    </row>
    <row r="67" spans="1:29" x14ac:dyDescent="0.25">
      <c r="A67" s="8" t="s">
        <v>369</v>
      </c>
      <c r="B67" s="8" t="s">
        <v>124</v>
      </c>
      <c r="C67" s="8" t="s">
        <v>182</v>
      </c>
      <c r="D67" s="8">
        <v>5</v>
      </c>
      <c r="E67" s="8">
        <v>0.67779999999999996</v>
      </c>
      <c r="F67" s="8">
        <v>0.64600000000000002</v>
      </c>
      <c r="G67" s="8">
        <v>0.70960000000000001</v>
      </c>
      <c r="H67" s="8">
        <v>2.29E-2</v>
      </c>
      <c r="I67" s="12" t="str">
        <f t="shared" si="5"/>
        <v>67.8 (64.6 ~ 71)</v>
      </c>
      <c r="J67" s="8">
        <v>0.59250000000000003</v>
      </c>
      <c r="K67" s="8">
        <v>0.55230000000000001</v>
      </c>
      <c r="L67" s="8">
        <v>0.63270000000000004</v>
      </c>
      <c r="M67" s="8">
        <v>2.8899999999999999E-2</v>
      </c>
      <c r="N67" s="12" t="str">
        <f t="shared" si="6"/>
        <v>59.3 (55.2 ~ 63.3)</v>
      </c>
      <c r="O67" s="8">
        <v>0.66059999999999997</v>
      </c>
      <c r="P67" s="8">
        <v>0.628</v>
      </c>
      <c r="Q67" s="8">
        <v>0.69310000000000005</v>
      </c>
      <c r="R67" s="8">
        <v>2.3400000000000001E-2</v>
      </c>
      <c r="S67" s="12" t="str">
        <f t="shared" si="7"/>
        <v>66.1 (62.8 ~ 69.3)</v>
      </c>
      <c r="T67" s="8">
        <v>0.78400000000000003</v>
      </c>
      <c r="U67" s="8">
        <v>0.74850000000000005</v>
      </c>
      <c r="V67" s="8">
        <v>0.81950000000000001</v>
      </c>
      <c r="W67" s="8">
        <v>2.5499999999999998E-2</v>
      </c>
      <c r="X67" s="12" t="str">
        <f t="shared" si="8"/>
        <v>78.4 (74.9 ~ 82)</v>
      </c>
      <c r="Y67" s="8">
        <v>0.63560000000000005</v>
      </c>
      <c r="Z67" s="8">
        <v>0.58919999999999995</v>
      </c>
      <c r="AA67" s="8">
        <v>0.68189999999999995</v>
      </c>
      <c r="AB67" s="8">
        <v>3.3399999999999999E-2</v>
      </c>
      <c r="AC67" s="12" t="str">
        <f t="shared" si="9"/>
        <v>63.6 (58.9 ~ 68.2)</v>
      </c>
    </row>
    <row r="68" spans="1:29" x14ac:dyDescent="0.25">
      <c r="A68" s="8" t="s">
        <v>375</v>
      </c>
      <c r="B68" s="8" t="s">
        <v>124</v>
      </c>
      <c r="C68" s="8" t="s">
        <v>184</v>
      </c>
      <c r="D68" s="8">
        <v>5</v>
      </c>
      <c r="E68" s="8">
        <v>0.68030000000000002</v>
      </c>
      <c r="F68" s="8">
        <v>0.64859999999999995</v>
      </c>
      <c r="G68" s="8">
        <v>0.71199999999999997</v>
      </c>
      <c r="H68" s="8">
        <v>2.2800000000000001E-2</v>
      </c>
      <c r="I68" s="12" t="str">
        <f t="shared" si="5"/>
        <v>68 (64.9 ~ 71.2)</v>
      </c>
      <c r="J68" s="8">
        <v>0.56910000000000005</v>
      </c>
      <c r="K68" s="8">
        <v>0.52280000000000004</v>
      </c>
      <c r="L68" s="8">
        <v>0.61539999999999995</v>
      </c>
      <c r="M68" s="8">
        <v>3.3399999999999999E-2</v>
      </c>
      <c r="N68" s="12" t="str">
        <f t="shared" si="6"/>
        <v>56.9 (52.3 ~ 61.5)</v>
      </c>
      <c r="O68" s="8">
        <v>0.6452</v>
      </c>
      <c r="P68" s="8">
        <v>0.60680000000000001</v>
      </c>
      <c r="Q68" s="8">
        <v>0.68359999999999999</v>
      </c>
      <c r="R68" s="8">
        <v>2.7699999999999999E-2</v>
      </c>
      <c r="S68" s="12" t="str">
        <f t="shared" si="7"/>
        <v>64.5 (60.7 ~ 68.4)</v>
      </c>
      <c r="T68" s="8">
        <v>0.78290000000000004</v>
      </c>
      <c r="U68" s="8">
        <v>0.75049999999999994</v>
      </c>
      <c r="V68" s="8">
        <v>0.81540000000000001</v>
      </c>
      <c r="W68" s="8">
        <v>2.3400000000000001E-2</v>
      </c>
      <c r="X68" s="12" t="str">
        <f t="shared" si="8"/>
        <v>78.3 (75.1 ~ 81.5)</v>
      </c>
      <c r="Y68" s="8">
        <v>0.61990000000000001</v>
      </c>
      <c r="Z68" s="8">
        <v>0.57930000000000004</v>
      </c>
      <c r="AA68" s="8">
        <v>0.66049999999999998</v>
      </c>
      <c r="AB68" s="8">
        <v>2.92E-2</v>
      </c>
      <c r="AC68" s="12" t="str">
        <f t="shared" si="9"/>
        <v>62 (57.9 ~ 66.1)</v>
      </c>
    </row>
    <row r="69" spans="1:29" x14ac:dyDescent="0.25">
      <c r="A69" s="8" t="s">
        <v>375</v>
      </c>
      <c r="B69" s="8" t="s">
        <v>124</v>
      </c>
      <c r="C69" s="8" t="s">
        <v>183</v>
      </c>
      <c r="D69" s="8">
        <v>5</v>
      </c>
      <c r="E69" s="8">
        <v>0.57989999999999997</v>
      </c>
      <c r="F69" s="8">
        <v>0.54269999999999996</v>
      </c>
      <c r="G69" s="8">
        <v>0.61709999999999998</v>
      </c>
      <c r="H69" s="8">
        <v>2.6800000000000001E-2</v>
      </c>
      <c r="I69" s="12" t="str">
        <f t="shared" si="5"/>
        <v>58 (54.3 ~ 61.7)</v>
      </c>
      <c r="J69" s="8">
        <v>0.55349999999999999</v>
      </c>
      <c r="K69" s="8">
        <v>0.51849999999999996</v>
      </c>
      <c r="L69" s="8">
        <v>0.58850000000000002</v>
      </c>
      <c r="M69" s="8">
        <v>2.52E-2</v>
      </c>
      <c r="N69" s="12" t="str">
        <f t="shared" si="6"/>
        <v>55.4 (51.9 ~ 58.9)</v>
      </c>
      <c r="O69" s="8">
        <v>0.5887</v>
      </c>
      <c r="P69" s="8">
        <v>0.53900000000000003</v>
      </c>
      <c r="Q69" s="8">
        <v>0.63839999999999997</v>
      </c>
      <c r="R69" s="8">
        <v>3.5799999999999998E-2</v>
      </c>
      <c r="S69" s="12" t="str">
        <f t="shared" si="7"/>
        <v>58.9 (53.9 ~ 63.8)</v>
      </c>
      <c r="T69" s="8">
        <v>0.78220000000000001</v>
      </c>
      <c r="U69" s="8">
        <v>0.76419999999999999</v>
      </c>
      <c r="V69" s="8">
        <v>0.80010000000000003</v>
      </c>
      <c r="W69" s="8">
        <v>1.29E-2</v>
      </c>
      <c r="X69" s="12" t="str">
        <f t="shared" si="8"/>
        <v>78.2 (76.4 ~ 80)</v>
      </c>
      <c r="Y69" s="8">
        <v>0.62660000000000005</v>
      </c>
      <c r="Z69" s="8">
        <v>0.60199999999999998</v>
      </c>
      <c r="AA69" s="8">
        <v>0.65129999999999999</v>
      </c>
      <c r="AB69" s="8">
        <v>1.78E-2</v>
      </c>
      <c r="AC69" s="12" t="str">
        <f t="shared" si="9"/>
        <v>62.7 (60.2 ~ 65.1)</v>
      </c>
    </row>
    <row r="70" spans="1:29" x14ac:dyDescent="0.25">
      <c r="A70" s="8" t="s">
        <v>369</v>
      </c>
      <c r="B70" s="8" t="s">
        <v>124</v>
      </c>
      <c r="C70" s="8" t="s">
        <v>183</v>
      </c>
      <c r="D70" s="8">
        <v>5</v>
      </c>
      <c r="E70" s="8">
        <v>0.56399999999999995</v>
      </c>
      <c r="F70" s="8">
        <v>0.499</v>
      </c>
      <c r="G70" s="8">
        <v>0.62909999999999999</v>
      </c>
      <c r="H70" s="8">
        <v>4.6800000000000001E-2</v>
      </c>
      <c r="I70" s="12" t="str">
        <f t="shared" si="5"/>
        <v>56.4 (49.9 ~ 62.9)</v>
      </c>
      <c r="J70" s="8">
        <v>0.54279999999999995</v>
      </c>
      <c r="K70" s="8">
        <v>0.47370000000000001</v>
      </c>
      <c r="L70" s="8">
        <v>0.6119</v>
      </c>
      <c r="M70" s="8">
        <v>4.9799999999999997E-2</v>
      </c>
      <c r="N70" s="12" t="str">
        <f t="shared" si="6"/>
        <v>54.3 (47.4 ~ 61.2)</v>
      </c>
      <c r="O70" s="8">
        <v>0.57940000000000003</v>
      </c>
      <c r="P70" s="8">
        <v>0.49559999999999998</v>
      </c>
      <c r="Q70" s="8">
        <v>0.6633</v>
      </c>
      <c r="R70" s="8">
        <v>6.0400000000000002E-2</v>
      </c>
      <c r="S70" s="12" t="str">
        <f t="shared" si="7"/>
        <v>57.9 (49.6 ~ 66.3)</v>
      </c>
      <c r="T70" s="8">
        <v>0.78049999999999997</v>
      </c>
      <c r="U70" s="8">
        <v>0.75819999999999999</v>
      </c>
      <c r="V70" s="8">
        <v>0.80289999999999995</v>
      </c>
      <c r="W70" s="8">
        <v>1.61E-2</v>
      </c>
      <c r="X70" s="12" t="str">
        <f t="shared" si="8"/>
        <v>78.1 (75.8 ~ 80.3)</v>
      </c>
      <c r="Y70" s="8">
        <v>0.62870000000000004</v>
      </c>
      <c r="Z70" s="8">
        <v>0.59860000000000002</v>
      </c>
      <c r="AA70" s="8">
        <v>0.65869999999999995</v>
      </c>
      <c r="AB70" s="8">
        <v>2.1600000000000001E-2</v>
      </c>
      <c r="AC70" s="12" t="str">
        <f t="shared" si="9"/>
        <v>62.9 (59.9 ~ 65.9)</v>
      </c>
    </row>
    <row r="71" spans="1:29" x14ac:dyDescent="0.25">
      <c r="A71" s="8" t="s">
        <v>375</v>
      </c>
      <c r="B71" s="8" t="s">
        <v>185</v>
      </c>
      <c r="C71" s="8" t="s">
        <v>182</v>
      </c>
      <c r="D71" s="8">
        <v>5</v>
      </c>
      <c r="E71" s="8">
        <v>0.72299999999999998</v>
      </c>
      <c r="F71" s="8">
        <v>0.70030000000000003</v>
      </c>
      <c r="G71" s="8">
        <v>0.74580000000000002</v>
      </c>
      <c r="H71" s="8">
        <v>1.6400000000000001E-2</v>
      </c>
      <c r="I71" s="12" t="str">
        <f t="shared" si="5"/>
        <v>72.3 (70 ~ 74.6)</v>
      </c>
      <c r="J71" s="8">
        <v>0.61980000000000002</v>
      </c>
      <c r="K71" s="8">
        <v>0.59119999999999995</v>
      </c>
      <c r="L71" s="8">
        <v>0.64829999999999999</v>
      </c>
      <c r="M71" s="8">
        <v>2.06E-2</v>
      </c>
      <c r="N71" s="12" t="str">
        <f t="shared" si="6"/>
        <v>62 (59.1 ~ 64.8)</v>
      </c>
      <c r="O71" s="8">
        <v>0.69079999999999997</v>
      </c>
      <c r="P71" s="8">
        <v>0.66979999999999995</v>
      </c>
      <c r="Q71" s="8">
        <v>0.71179999999999999</v>
      </c>
      <c r="R71" s="8">
        <v>1.5100000000000001E-2</v>
      </c>
      <c r="S71" s="12" t="str">
        <f t="shared" si="7"/>
        <v>69.1 (67 ~ 71.2)</v>
      </c>
      <c r="T71" s="8">
        <v>0.82240000000000002</v>
      </c>
      <c r="U71" s="8">
        <v>0.79190000000000005</v>
      </c>
      <c r="V71" s="8">
        <v>0.85289999999999999</v>
      </c>
      <c r="W71" s="8">
        <v>2.1999999999999999E-2</v>
      </c>
      <c r="X71" s="12" t="str">
        <f t="shared" si="8"/>
        <v>82.2 (79.2 ~ 85.3)</v>
      </c>
      <c r="Y71" s="8">
        <v>0.67979999999999996</v>
      </c>
      <c r="Z71" s="8">
        <v>0.63500000000000001</v>
      </c>
      <c r="AA71" s="8">
        <v>0.72460000000000002</v>
      </c>
      <c r="AB71" s="8">
        <v>3.2300000000000002E-2</v>
      </c>
      <c r="AC71" s="12" t="str">
        <f t="shared" si="9"/>
        <v>68 (63.5 ~ 72.5)</v>
      </c>
    </row>
    <row r="72" spans="1:29" x14ac:dyDescent="0.25">
      <c r="A72" s="8" t="s">
        <v>374</v>
      </c>
      <c r="B72" s="8" t="s">
        <v>124</v>
      </c>
      <c r="C72" s="8" t="s">
        <v>183</v>
      </c>
      <c r="D72" s="8">
        <v>5</v>
      </c>
      <c r="E72" s="8">
        <v>0.56740000000000002</v>
      </c>
      <c r="F72" s="8">
        <v>0.52669999999999995</v>
      </c>
      <c r="G72" s="8">
        <v>0.60799999999999998</v>
      </c>
      <c r="H72" s="8">
        <v>2.93E-2</v>
      </c>
      <c r="I72" s="12" t="str">
        <f t="shared" si="5"/>
        <v>56.7 (52.7 ~ 60.8)</v>
      </c>
      <c r="J72" s="8">
        <v>0.54400000000000004</v>
      </c>
      <c r="K72" s="8">
        <v>0.50900000000000001</v>
      </c>
      <c r="L72" s="8">
        <v>0.57909999999999995</v>
      </c>
      <c r="M72" s="8">
        <v>2.53E-2</v>
      </c>
      <c r="N72" s="12" t="str">
        <f t="shared" si="6"/>
        <v>54.4 (50.9 ~ 57.9)</v>
      </c>
      <c r="O72" s="8">
        <v>0.5827</v>
      </c>
      <c r="P72" s="8">
        <v>0.53069999999999995</v>
      </c>
      <c r="Q72" s="8">
        <v>0.63470000000000004</v>
      </c>
      <c r="R72" s="8">
        <v>3.7499999999999999E-2</v>
      </c>
      <c r="S72" s="12" t="str">
        <f t="shared" si="7"/>
        <v>58.3 (53.1 ~ 63.5)</v>
      </c>
      <c r="T72" s="8">
        <v>0.77910000000000001</v>
      </c>
      <c r="U72" s="8">
        <v>0.76049999999999995</v>
      </c>
      <c r="V72" s="8">
        <v>0.79769999999999996</v>
      </c>
      <c r="W72" s="8">
        <v>1.34E-2</v>
      </c>
      <c r="X72" s="12" t="str">
        <f t="shared" si="8"/>
        <v>77.9 (76.1 ~ 79.8)</v>
      </c>
      <c r="Y72" s="8">
        <v>0.62360000000000004</v>
      </c>
      <c r="Z72" s="8">
        <v>0.60009999999999997</v>
      </c>
      <c r="AA72" s="8">
        <v>0.6472</v>
      </c>
      <c r="AB72" s="8">
        <v>1.6899999999999998E-2</v>
      </c>
      <c r="AC72" s="12" t="str">
        <f t="shared" si="9"/>
        <v>62.4 (60 ~ 64.7)</v>
      </c>
    </row>
    <row r="73" spans="1:29" x14ac:dyDescent="0.25">
      <c r="A73" s="8" t="s">
        <v>372</v>
      </c>
      <c r="B73" s="8" t="s">
        <v>124</v>
      </c>
      <c r="C73" s="8" t="s">
        <v>183</v>
      </c>
      <c r="D73" s="8">
        <v>5</v>
      </c>
      <c r="E73" s="8">
        <v>0.58330000000000004</v>
      </c>
      <c r="F73" s="8">
        <v>0.56430000000000002</v>
      </c>
      <c r="G73" s="8">
        <v>0.60219999999999996</v>
      </c>
      <c r="H73" s="8">
        <v>1.3599999999999999E-2</v>
      </c>
      <c r="I73" s="12" t="str">
        <f t="shared" si="5"/>
        <v>58.3 (56.4 ~ 60.2)</v>
      </c>
      <c r="J73" s="8">
        <v>0.55640000000000001</v>
      </c>
      <c r="K73" s="8">
        <v>0.54139999999999999</v>
      </c>
      <c r="L73" s="8">
        <v>0.57130000000000003</v>
      </c>
      <c r="M73" s="8">
        <v>1.0800000000000001E-2</v>
      </c>
      <c r="N73" s="12" t="str">
        <f t="shared" si="6"/>
        <v>55.6 (54.1 ~ 57.1)</v>
      </c>
      <c r="O73" s="8">
        <v>0.59989999999999999</v>
      </c>
      <c r="P73" s="8">
        <v>0.57809999999999995</v>
      </c>
      <c r="Q73" s="8">
        <v>0.62160000000000004</v>
      </c>
      <c r="R73" s="8">
        <v>1.5699999999999999E-2</v>
      </c>
      <c r="S73" s="12" t="str">
        <f t="shared" si="7"/>
        <v>60 (57.8 ~ 62.2)</v>
      </c>
      <c r="T73" s="8">
        <v>0.77900000000000003</v>
      </c>
      <c r="U73" s="8">
        <v>0.75170000000000003</v>
      </c>
      <c r="V73" s="8">
        <v>0.80630000000000002</v>
      </c>
      <c r="W73" s="8">
        <v>1.9699999999999999E-2</v>
      </c>
      <c r="X73" s="12" t="str">
        <f t="shared" si="8"/>
        <v>77.9 (75.2 ~ 80.6)</v>
      </c>
      <c r="Y73" s="8">
        <v>0.62109999999999999</v>
      </c>
      <c r="Z73" s="8">
        <v>0.58789999999999998</v>
      </c>
      <c r="AA73" s="8">
        <v>0.65429999999999999</v>
      </c>
      <c r="AB73" s="8">
        <v>2.3900000000000001E-2</v>
      </c>
      <c r="AC73" s="12" t="str">
        <f t="shared" si="9"/>
        <v>62.1 (58.8 ~ 65.4)</v>
      </c>
    </row>
    <row r="74" spans="1:29" x14ac:dyDescent="0.25">
      <c r="A74" s="8" t="s">
        <v>376</v>
      </c>
      <c r="B74" s="8" t="s">
        <v>185</v>
      </c>
      <c r="C74" s="8" t="s">
        <v>183</v>
      </c>
      <c r="D74" s="8">
        <v>5</v>
      </c>
      <c r="E74" s="8">
        <v>0.71630000000000005</v>
      </c>
      <c r="F74" s="8">
        <v>0.69130000000000003</v>
      </c>
      <c r="G74" s="8">
        <v>0.74129999999999996</v>
      </c>
      <c r="H74" s="8">
        <v>1.7999999999999999E-2</v>
      </c>
      <c r="I74" s="12" t="str">
        <f t="shared" si="5"/>
        <v>71.6 (69.1 ~ 74.1)</v>
      </c>
      <c r="J74" s="8">
        <v>0.67320000000000002</v>
      </c>
      <c r="K74" s="8">
        <v>0.64839999999999998</v>
      </c>
      <c r="L74" s="8">
        <v>0.69799999999999995</v>
      </c>
      <c r="M74" s="8">
        <v>1.78E-2</v>
      </c>
      <c r="N74" s="12" t="str">
        <f t="shared" si="6"/>
        <v>67.3 (64.8 ~ 69.8)</v>
      </c>
      <c r="O74" s="8">
        <v>0.71899999999999997</v>
      </c>
      <c r="P74" s="8">
        <v>0.69510000000000005</v>
      </c>
      <c r="Q74" s="8">
        <v>0.7429</v>
      </c>
      <c r="R74" s="8">
        <v>1.72E-2</v>
      </c>
      <c r="S74" s="12" t="str">
        <f t="shared" si="7"/>
        <v>71.9 (69.5 ~ 74.3)</v>
      </c>
      <c r="T74" s="8">
        <v>0.84509999999999996</v>
      </c>
      <c r="U74" s="8">
        <v>0.82530000000000003</v>
      </c>
      <c r="V74" s="8">
        <v>0.86499999999999999</v>
      </c>
      <c r="W74" s="8">
        <v>1.43E-2</v>
      </c>
      <c r="X74" s="12" t="str">
        <f t="shared" si="8"/>
        <v>84.5 (82.5 ~ 86.5)</v>
      </c>
      <c r="Y74" s="8">
        <v>0.71040000000000003</v>
      </c>
      <c r="Z74" s="8">
        <v>0.67979999999999996</v>
      </c>
      <c r="AA74" s="8">
        <v>0.74099999999999999</v>
      </c>
      <c r="AB74" s="8">
        <v>2.2100000000000002E-2</v>
      </c>
      <c r="AC74" s="12" t="str">
        <f t="shared" si="9"/>
        <v>71 (68 ~ 74.1)</v>
      </c>
    </row>
    <row r="75" spans="1:29" x14ac:dyDescent="0.25">
      <c r="A75" s="8" t="s">
        <v>377</v>
      </c>
      <c r="B75" s="8" t="s">
        <v>185</v>
      </c>
      <c r="C75" s="8" t="s">
        <v>183</v>
      </c>
      <c r="D75" s="8">
        <v>5</v>
      </c>
      <c r="E75" s="8">
        <v>0.72299999999999998</v>
      </c>
      <c r="F75" s="8">
        <v>0.68769999999999998</v>
      </c>
      <c r="G75" s="8">
        <v>0.75829999999999997</v>
      </c>
      <c r="H75" s="8">
        <v>2.5399999999999999E-2</v>
      </c>
      <c r="I75" s="12" t="str">
        <f t="shared" si="5"/>
        <v>72.3 (68.8 ~ 75.8)</v>
      </c>
      <c r="J75" s="8">
        <v>0.6784</v>
      </c>
      <c r="K75" s="8">
        <v>0.63980000000000004</v>
      </c>
      <c r="L75" s="8">
        <v>0.71699999999999997</v>
      </c>
      <c r="M75" s="8">
        <v>2.7799999999999998E-2</v>
      </c>
      <c r="N75" s="12" t="str">
        <f t="shared" si="6"/>
        <v>67.8 (64 ~ 71.7)</v>
      </c>
      <c r="O75" s="8">
        <v>0.72430000000000005</v>
      </c>
      <c r="P75" s="8">
        <v>0.69220000000000004</v>
      </c>
      <c r="Q75" s="8">
        <v>0.75649999999999995</v>
      </c>
      <c r="R75" s="8">
        <v>2.3099999999999999E-2</v>
      </c>
      <c r="S75" s="12" t="str">
        <f t="shared" si="7"/>
        <v>72.4 (69.2 ~ 75.7)</v>
      </c>
      <c r="T75" s="8">
        <v>0.83660000000000001</v>
      </c>
      <c r="U75" s="8">
        <v>0.80589999999999995</v>
      </c>
      <c r="V75" s="8">
        <v>0.86729999999999996</v>
      </c>
      <c r="W75" s="8">
        <v>2.2100000000000002E-2</v>
      </c>
      <c r="X75" s="12" t="str">
        <f t="shared" si="8"/>
        <v>83.7 (80.6 ~ 86.7)</v>
      </c>
      <c r="Y75" s="8">
        <v>0.70799999999999996</v>
      </c>
      <c r="Z75" s="8">
        <v>0.6613</v>
      </c>
      <c r="AA75" s="8">
        <v>0.75470000000000004</v>
      </c>
      <c r="AB75" s="8">
        <v>3.3700000000000001E-2</v>
      </c>
      <c r="AC75" s="12" t="str">
        <f t="shared" si="9"/>
        <v>70.8 (66.1 ~ 75.5)</v>
      </c>
    </row>
    <row r="76" spans="1:29" x14ac:dyDescent="0.25">
      <c r="A76" s="8" t="s">
        <v>378</v>
      </c>
      <c r="B76" s="8" t="s">
        <v>185</v>
      </c>
      <c r="C76" s="8" t="s">
        <v>183</v>
      </c>
      <c r="D76" s="8">
        <v>5</v>
      </c>
      <c r="E76" s="8">
        <v>0.70799999999999996</v>
      </c>
      <c r="F76" s="8">
        <v>0.67989999999999995</v>
      </c>
      <c r="G76" s="8">
        <v>0.73599999999999999</v>
      </c>
      <c r="H76" s="8">
        <v>2.0199999999999999E-2</v>
      </c>
      <c r="I76" s="12" t="str">
        <f t="shared" si="5"/>
        <v>70.8 (68 ~ 73.6)</v>
      </c>
      <c r="J76" s="8">
        <v>0.66859999999999997</v>
      </c>
      <c r="K76" s="8">
        <v>0.64029999999999998</v>
      </c>
      <c r="L76" s="8">
        <v>0.69699999999999995</v>
      </c>
      <c r="M76" s="8">
        <v>2.0400000000000001E-2</v>
      </c>
      <c r="N76" s="12" t="str">
        <f t="shared" si="6"/>
        <v>66.9 (64 ~ 69.7)</v>
      </c>
      <c r="O76" s="8">
        <v>0.71289999999999998</v>
      </c>
      <c r="P76" s="8">
        <v>0.6855</v>
      </c>
      <c r="Q76" s="8">
        <v>0.74029999999999996</v>
      </c>
      <c r="R76" s="8">
        <v>1.9699999999999999E-2</v>
      </c>
      <c r="S76" s="12" t="str">
        <f t="shared" si="7"/>
        <v>71.3 (68.6 ~ 74)</v>
      </c>
      <c r="T76" s="8">
        <v>0.83509999999999995</v>
      </c>
      <c r="U76" s="8">
        <v>0.81659999999999999</v>
      </c>
      <c r="V76" s="8">
        <v>0.85360000000000003</v>
      </c>
      <c r="W76" s="8">
        <v>1.3299999999999999E-2</v>
      </c>
      <c r="X76" s="12" t="str">
        <f t="shared" si="8"/>
        <v>83.5 (81.7 ~ 85.4)</v>
      </c>
      <c r="Y76" s="8">
        <v>0.7046</v>
      </c>
      <c r="Z76" s="8">
        <v>0.67779999999999996</v>
      </c>
      <c r="AA76" s="8">
        <v>0.73129999999999995</v>
      </c>
      <c r="AB76" s="8">
        <v>1.9300000000000001E-2</v>
      </c>
      <c r="AC76" s="12" t="str">
        <f t="shared" si="9"/>
        <v>70.5 (67.8 ~ 73.1)</v>
      </c>
    </row>
    <row r="77" spans="1:29" x14ac:dyDescent="0.25">
      <c r="A77" s="8" t="s">
        <v>379</v>
      </c>
      <c r="B77" s="8" t="s">
        <v>185</v>
      </c>
      <c r="C77" s="8" t="s">
        <v>183</v>
      </c>
      <c r="D77" s="8">
        <v>5</v>
      </c>
      <c r="E77" s="8">
        <v>0.70289999999999997</v>
      </c>
      <c r="F77" s="8">
        <v>0.67349999999999999</v>
      </c>
      <c r="G77" s="8">
        <v>0.73229999999999995</v>
      </c>
      <c r="H77" s="8">
        <v>2.12E-2</v>
      </c>
      <c r="I77" s="12" t="str">
        <f t="shared" si="5"/>
        <v>70.3 (67.4 ~ 73.2)</v>
      </c>
      <c r="J77" s="8">
        <v>0.65580000000000005</v>
      </c>
      <c r="K77" s="8">
        <v>0.62739999999999996</v>
      </c>
      <c r="L77" s="8">
        <v>0.68430000000000002</v>
      </c>
      <c r="M77" s="8">
        <v>2.0500000000000001E-2</v>
      </c>
      <c r="N77" s="12" t="str">
        <f t="shared" si="6"/>
        <v>65.6 (62.7 ~ 68.4)</v>
      </c>
      <c r="O77" s="8">
        <v>0.70489999999999997</v>
      </c>
      <c r="P77" s="8">
        <v>0.67720000000000002</v>
      </c>
      <c r="Q77" s="8">
        <v>0.73270000000000002</v>
      </c>
      <c r="R77" s="8">
        <v>0.02</v>
      </c>
      <c r="S77" s="12" t="str">
        <f t="shared" si="7"/>
        <v>70.5 (67.7 ~ 73.3)</v>
      </c>
      <c r="T77" s="8">
        <v>0.83050000000000002</v>
      </c>
      <c r="U77" s="8">
        <v>0.80879999999999996</v>
      </c>
      <c r="V77" s="8">
        <v>0.85229999999999995</v>
      </c>
      <c r="W77" s="8">
        <v>1.5699999999999999E-2</v>
      </c>
      <c r="X77" s="12" t="str">
        <f t="shared" si="8"/>
        <v>83.1 (80.9 ~ 85.2)</v>
      </c>
      <c r="Y77" s="8">
        <v>0.68620000000000003</v>
      </c>
      <c r="Z77" s="8">
        <v>0.65180000000000005</v>
      </c>
      <c r="AA77" s="8">
        <v>0.72060000000000002</v>
      </c>
      <c r="AB77" s="8">
        <v>2.4799999999999999E-2</v>
      </c>
      <c r="AC77" s="12" t="str">
        <f t="shared" si="9"/>
        <v>68.6 (65.2 ~ 72.1)</v>
      </c>
    </row>
    <row r="78" spans="1:29" x14ac:dyDescent="0.25">
      <c r="A78" s="8" t="s">
        <v>379</v>
      </c>
      <c r="B78" s="8" t="s">
        <v>185</v>
      </c>
      <c r="C78" s="8" t="s">
        <v>182</v>
      </c>
      <c r="D78" s="8">
        <v>5</v>
      </c>
      <c r="E78" s="8">
        <v>0.72050000000000003</v>
      </c>
      <c r="F78" s="8">
        <v>0.7016</v>
      </c>
      <c r="G78" s="8">
        <v>0.73939999999999995</v>
      </c>
      <c r="H78" s="8">
        <v>1.3599999999999999E-2</v>
      </c>
      <c r="I78" s="12" t="str">
        <f t="shared" si="5"/>
        <v>72.1 (70.2 ~ 73.9)</v>
      </c>
      <c r="J78" s="8">
        <v>0.60360000000000003</v>
      </c>
      <c r="K78" s="8">
        <v>0.57779999999999998</v>
      </c>
      <c r="L78" s="8">
        <v>0.62949999999999995</v>
      </c>
      <c r="M78" s="8">
        <v>1.8599999999999998E-2</v>
      </c>
      <c r="N78" s="12" t="str">
        <f t="shared" si="6"/>
        <v>60.4 (57.8 ~ 63)</v>
      </c>
      <c r="O78" s="8">
        <v>0.6825</v>
      </c>
      <c r="P78" s="8">
        <v>0.66259999999999997</v>
      </c>
      <c r="Q78" s="8">
        <v>0.70230000000000004</v>
      </c>
      <c r="R78" s="8">
        <v>1.43E-2</v>
      </c>
      <c r="S78" s="12" t="str">
        <f t="shared" si="7"/>
        <v>68.3 (66.3 ~ 70.2)</v>
      </c>
      <c r="T78" s="8">
        <v>0.82769999999999999</v>
      </c>
      <c r="U78" s="8">
        <v>0.80869999999999997</v>
      </c>
      <c r="V78" s="8">
        <v>0.84670000000000001</v>
      </c>
      <c r="W78" s="8">
        <v>1.37E-2</v>
      </c>
      <c r="X78" s="12" t="str">
        <f t="shared" si="8"/>
        <v>82.8 (80.9 ~ 84.7)</v>
      </c>
      <c r="Y78" s="8">
        <v>0.68089999999999995</v>
      </c>
      <c r="Z78" s="8">
        <v>0.65939999999999999</v>
      </c>
      <c r="AA78" s="8">
        <v>0.70240000000000002</v>
      </c>
      <c r="AB78" s="8">
        <v>1.55E-2</v>
      </c>
      <c r="AC78" s="12" t="str">
        <f t="shared" si="9"/>
        <v>68.1 (65.9 ~ 70.2)</v>
      </c>
    </row>
    <row r="79" spans="1:29" x14ac:dyDescent="0.25">
      <c r="A79" s="8" t="s">
        <v>376</v>
      </c>
      <c r="B79" s="8" t="s">
        <v>185</v>
      </c>
      <c r="C79" s="8" t="s">
        <v>184</v>
      </c>
      <c r="D79" s="8">
        <v>5</v>
      </c>
      <c r="E79" s="8">
        <v>0.71879999999999999</v>
      </c>
      <c r="F79" s="8">
        <v>0.7</v>
      </c>
      <c r="G79" s="8">
        <v>0.73770000000000002</v>
      </c>
      <c r="H79" s="8">
        <v>1.3599999999999999E-2</v>
      </c>
      <c r="I79" s="12" t="str">
        <f t="shared" si="5"/>
        <v>71.9 (70 ~ 73.8)</v>
      </c>
      <c r="J79" s="8">
        <v>0.57369999999999999</v>
      </c>
      <c r="K79" s="8">
        <v>0.55169999999999997</v>
      </c>
      <c r="L79" s="8">
        <v>0.59570000000000001</v>
      </c>
      <c r="M79" s="8">
        <v>1.5800000000000002E-2</v>
      </c>
      <c r="N79" s="12" t="str">
        <f t="shared" si="6"/>
        <v>57.4 (55.2 ~ 59.6)</v>
      </c>
      <c r="O79" s="8">
        <v>0.66610000000000003</v>
      </c>
      <c r="P79" s="8">
        <v>0.64739999999999998</v>
      </c>
      <c r="Q79" s="8">
        <v>0.68489999999999995</v>
      </c>
      <c r="R79" s="8">
        <v>1.35E-2</v>
      </c>
      <c r="S79" s="12" t="str">
        <f t="shared" si="7"/>
        <v>66.6 (64.7 ~ 68.5)</v>
      </c>
      <c r="T79" s="8">
        <v>0.81040000000000001</v>
      </c>
      <c r="U79" s="8">
        <v>0.78349999999999997</v>
      </c>
      <c r="V79" s="8">
        <v>0.83730000000000004</v>
      </c>
      <c r="W79" s="8">
        <v>1.9400000000000001E-2</v>
      </c>
      <c r="X79" s="12" t="str">
        <f t="shared" si="8"/>
        <v>81 (78.4 ~ 83.7)</v>
      </c>
      <c r="Y79" s="8">
        <v>0.65449999999999997</v>
      </c>
      <c r="Z79" s="8">
        <v>0.61980000000000002</v>
      </c>
      <c r="AA79" s="8">
        <v>0.68920000000000003</v>
      </c>
      <c r="AB79" s="8">
        <v>2.5000000000000001E-2</v>
      </c>
      <c r="AC79" s="12" t="str">
        <f t="shared" si="9"/>
        <v>65.5 (62 ~ 68.9)</v>
      </c>
    </row>
    <row r="80" spans="1:29" x14ac:dyDescent="0.25">
      <c r="A80" s="8" t="s">
        <v>380</v>
      </c>
      <c r="B80" s="8" t="s">
        <v>185</v>
      </c>
      <c r="C80" s="8" t="s">
        <v>183</v>
      </c>
      <c r="D80" s="8">
        <v>5</v>
      </c>
      <c r="E80" s="8">
        <v>0.68620000000000003</v>
      </c>
      <c r="F80" s="8">
        <v>0.66100000000000003</v>
      </c>
      <c r="G80" s="8">
        <v>0.71140000000000003</v>
      </c>
      <c r="H80" s="8">
        <v>1.8200000000000001E-2</v>
      </c>
      <c r="I80" s="12" t="str">
        <f t="shared" si="5"/>
        <v>68.6 (66.1 ~ 71.1)</v>
      </c>
      <c r="J80" s="8">
        <v>0.64449999999999996</v>
      </c>
      <c r="K80" s="8">
        <v>0.61180000000000001</v>
      </c>
      <c r="L80" s="8">
        <v>0.67730000000000001</v>
      </c>
      <c r="M80" s="8">
        <v>2.3599999999999999E-2</v>
      </c>
      <c r="N80" s="12" t="str">
        <f t="shared" si="6"/>
        <v>64.5 (61.2 ~ 67.7)</v>
      </c>
      <c r="O80" s="8">
        <v>0.69210000000000005</v>
      </c>
      <c r="P80" s="8">
        <v>0.66520000000000001</v>
      </c>
      <c r="Q80" s="8">
        <v>0.71909999999999996</v>
      </c>
      <c r="R80" s="8">
        <v>1.9400000000000001E-2</v>
      </c>
      <c r="S80" s="12" t="str">
        <f t="shared" si="7"/>
        <v>69.2 (66.5 ~ 71.9)</v>
      </c>
      <c r="T80" s="8">
        <v>0.82699999999999996</v>
      </c>
      <c r="U80" s="8">
        <v>0.79559999999999997</v>
      </c>
      <c r="V80" s="8">
        <v>0.85850000000000004</v>
      </c>
      <c r="W80" s="8">
        <v>2.2700000000000001E-2</v>
      </c>
      <c r="X80" s="12" t="str">
        <f t="shared" si="8"/>
        <v>82.7 (79.6 ~ 85.9)</v>
      </c>
      <c r="Y80" s="8">
        <v>0.68400000000000005</v>
      </c>
      <c r="Z80" s="8">
        <v>0.63680000000000003</v>
      </c>
      <c r="AA80" s="8">
        <v>0.73119999999999996</v>
      </c>
      <c r="AB80" s="8">
        <v>3.4000000000000002E-2</v>
      </c>
      <c r="AC80" s="12" t="str">
        <f t="shared" si="9"/>
        <v>68.4 (63.7 ~ 73.1)</v>
      </c>
    </row>
    <row r="81" spans="1:29" x14ac:dyDescent="0.25">
      <c r="A81" s="8" t="s">
        <v>380</v>
      </c>
      <c r="B81" s="8" t="s">
        <v>185</v>
      </c>
      <c r="C81" s="8" t="s">
        <v>182</v>
      </c>
      <c r="D81" s="8">
        <v>5</v>
      </c>
      <c r="E81" s="8">
        <v>0.72050000000000003</v>
      </c>
      <c r="F81" s="8">
        <v>0.70930000000000004</v>
      </c>
      <c r="G81" s="8">
        <v>0.73170000000000002</v>
      </c>
      <c r="H81" s="8">
        <v>8.0999999999999996E-3</v>
      </c>
      <c r="I81" s="12" t="str">
        <f t="shared" si="5"/>
        <v>72.1 (70.9 ~ 73.2)</v>
      </c>
      <c r="J81" s="8">
        <v>0.60670000000000002</v>
      </c>
      <c r="K81" s="8">
        <v>0.57699999999999996</v>
      </c>
      <c r="L81" s="8">
        <v>0.63639999999999997</v>
      </c>
      <c r="M81" s="8">
        <v>2.1399999999999999E-2</v>
      </c>
      <c r="N81" s="12" t="str">
        <f t="shared" si="6"/>
        <v>60.7 (57.7 ~ 63.6)</v>
      </c>
      <c r="O81" s="8">
        <v>0.68359999999999999</v>
      </c>
      <c r="P81" s="8">
        <v>0.66449999999999998</v>
      </c>
      <c r="Q81" s="8">
        <v>0.70269999999999999</v>
      </c>
      <c r="R81" s="8">
        <v>1.38E-2</v>
      </c>
      <c r="S81" s="12" t="str">
        <f t="shared" si="7"/>
        <v>68.4 (66.5 ~ 70.3)</v>
      </c>
      <c r="T81" s="8">
        <v>0.82599999999999996</v>
      </c>
      <c r="U81" s="8">
        <v>0.80589999999999995</v>
      </c>
      <c r="V81" s="8">
        <v>0.84609999999999996</v>
      </c>
      <c r="W81" s="8">
        <v>1.4500000000000001E-2</v>
      </c>
      <c r="X81" s="12" t="str">
        <f t="shared" si="8"/>
        <v>82.6 (80.6 ~ 84.6)</v>
      </c>
      <c r="Y81" s="8">
        <v>0.67579999999999996</v>
      </c>
      <c r="Z81" s="8">
        <v>0.64649999999999996</v>
      </c>
      <c r="AA81" s="8">
        <v>0.70499999999999996</v>
      </c>
      <c r="AB81" s="8">
        <v>2.1100000000000001E-2</v>
      </c>
      <c r="AC81" s="12" t="str">
        <f t="shared" si="9"/>
        <v>67.6 (64.7 ~ 70.5)</v>
      </c>
    </row>
    <row r="82" spans="1:29" x14ac:dyDescent="0.25">
      <c r="A82" s="8" t="s">
        <v>377</v>
      </c>
      <c r="B82" s="8" t="s">
        <v>185</v>
      </c>
      <c r="C82" s="8" t="s">
        <v>182</v>
      </c>
      <c r="D82" s="8">
        <v>5</v>
      </c>
      <c r="E82" s="8">
        <v>0.73050000000000004</v>
      </c>
      <c r="F82" s="8">
        <v>0.70920000000000005</v>
      </c>
      <c r="G82" s="8">
        <v>0.75190000000000001</v>
      </c>
      <c r="H82" s="8">
        <v>1.54E-2</v>
      </c>
      <c r="I82" s="12" t="str">
        <f t="shared" si="5"/>
        <v>73.1 (70.9 ~ 75.2)</v>
      </c>
      <c r="J82" s="8">
        <v>0.62129999999999996</v>
      </c>
      <c r="K82" s="8">
        <v>0.58520000000000005</v>
      </c>
      <c r="L82" s="8">
        <v>0.65749999999999997</v>
      </c>
      <c r="M82" s="8">
        <v>2.6100000000000002E-2</v>
      </c>
      <c r="N82" s="12" t="str">
        <f t="shared" si="6"/>
        <v>62.1 (58.5 ~ 65.8)</v>
      </c>
      <c r="O82" s="8">
        <v>0.6956</v>
      </c>
      <c r="P82" s="8">
        <v>0.66890000000000005</v>
      </c>
      <c r="Q82" s="8">
        <v>0.72219999999999995</v>
      </c>
      <c r="R82" s="8">
        <v>1.9199999999999998E-2</v>
      </c>
      <c r="S82" s="12" t="str">
        <f t="shared" si="7"/>
        <v>69.6 (66.9 ~ 72.2)</v>
      </c>
      <c r="T82" s="8">
        <v>0.82469999999999999</v>
      </c>
      <c r="U82" s="8">
        <v>0.8034</v>
      </c>
      <c r="V82" s="8">
        <v>0.84599999999999997</v>
      </c>
      <c r="W82" s="8">
        <v>1.5299999999999999E-2</v>
      </c>
      <c r="X82" s="12" t="str">
        <f t="shared" si="8"/>
        <v>82.5 (80.3 ~ 84.6)</v>
      </c>
      <c r="Y82" s="8">
        <v>0.6825</v>
      </c>
      <c r="Z82" s="8">
        <v>0.65180000000000005</v>
      </c>
      <c r="AA82" s="8">
        <v>0.71330000000000005</v>
      </c>
      <c r="AB82" s="8">
        <v>2.2200000000000001E-2</v>
      </c>
      <c r="AC82" s="12" t="str">
        <f t="shared" si="9"/>
        <v>68.3 (65.2 ~ 71.3)</v>
      </c>
    </row>
    <row r="83" spans="1:29" x14ac:dyDescent="0.25">
      <c r="A83" s="8" t="s">
        <v>378</v>
      </c>
      <c r="B83" s="8" t="s">
        <v>185</v>
      </c>
      <c r="C83" s="8" t="s">
        <v>182</v>
      </c>
      <c r="D83" s="8">
        <v>5</v>
      </c>
      <c r="E83" s="8">
        <v>0.71630000000000005</v>
      </c>
      <c r="F83" s="8">
        <v>0.69510000000000005</v>
      </c>
      <c r="G83" s="8">
        <v>0.73750000000000004</v>
      </c>
      <c r="H83" s="8">
        <v>1.5299999999999999E-2</v>
      </c>
      <c r="I83" s="12" t="str">
        <f t="shared" si="5"/>
        <v>71.6 (69.5 ~ 73.8)</v>
      </c>
      <c r="J83" s="8">
        <v>0.60289999999999999</v>
      </c>
      <c r="K83" s="8">
        <v>0.56220000000000003</v>
      </c>
      <c r="L83" s="8">
        <v>0.64359999999999995</v>
      </c>
      <c r="M83" s="8">
        <v>2.93E-2</v>
      </c>
      <c r="N83" s="12" t="str">
        <f t="shared" si="6"/>
        <v>60.3 (56.2 ~ 64.4)</v>
      </c>
      <c r="O83" s="8">
        <v>0.6804</v>
      </c>
      <c r="P83" s="8">
        <v>0.65169999999999995</v>
      </c>
      <c r="Q83" s="8">
        <v>0.70920000000000005</v>
      </c>
      <c r="R83" s="8">
        <v>2.07E-2</v>
      </c>
      <c r="S83" s="12" t="str">
        <f t="shared" si="7"/>
        <v>68 (65.2 ~ 70.9)</v>
      </c>
      <c r="T83" s="8">
        <v>0.81899999999999995</v>
      </c>
      <c r="U83" s="8">
        <v>0.79449999999999998</v>
      </c>
      <c r="V83" s="8">
        <v>0.84340000000000004</v>
      </c>
      <c r="W83" s="8">
        <v>1.7600000000000001E-2</v>
      </c>
      <c r="X83" s="12" t="str">
        <f t="shared" si="8"/>
        <v>81.9 (79.5 ~ 84.3)</v>
      </c>
      <c r="Y83" s="8">
        <v>0.66759999999999997</v>
      </c>
      <c r="Z83" s="8">
        <v>0.63019999999999998</v>
      </c>
      <c r="AA83" s="8">
        <v>0.70499999999999996</v>
      </c>
      <c r="AB83" s="8">
        <v>2.69E-2</v>
      </c>
      <c r="AC83" s="12" t="str">
        <f t="shared" si="9"/>
        <v>66.8 (63 ~ 70.5)</v>
      </c>
    </row>
    <row r="84" spans="1:29" x14ac:dyDescent="0.25">
      <c r="A84" s="8" t="s">
        <v>377</v>
      </c>
      <c r="B84" s="8" t="s">
        <v>124</v>
      </c>
      <c r="C84" s="8" t="s">
        <v>182</v>
      </c>
      <c r="D84" s="8">
        <v>5</v>
      </c>
      <c r="E84" s="8">
        <v>0.69540000000000002</v>
      </c>
      <c r="F84" s="8">
        <v>0.6653</v>
      </c>
      <c r="G84" s="8">
        <v>0.72550000000000003</v>
      </c>
      <c r="H84" s="8">
        <v>2.1700000000000001E-2</v>
      </c>
      <c r="I84" s="12" t="str">
        <f t="shared" si="5"/>
        <v>69.5 (66.5 ~ 72.6)</v>
      </c>
      <c r="J84" s="8">
        <v>0.60640000000000005</v>
      </c>
      <c r="K84" s="8">
        <v>0.56440000000000001</v>
      </c>
      <c r="L84" s="8">
        <v>0.64839999999999998</v>
      </c>
      <c r="M84" s="8">
        <v>3.0300000000000001E-2</v>
      </c>
      <c r="N84" s="12" t="str">
        <f t="shared" si="6"/>
        <v>60.6 (56.4 ~ 64.8)</v>
      </c>
      <c r="O84" s="8">
        <v>0.67369999999999997</v>
      </c>
      <c r="P84" s="8">
        <v>0.64380000000000004</v>
      </c>
      <c r="Q84" s="8">
        <v>0.7036</v>
      </c>
      <c r="R84" s="8">
        <v>2.1499999999999998E-2</v>
      </c>
      <c r="S84" s="12" t="str">
        <f t="shared" si="7"/>
        <v>67.4 (64.4 ~ 70.4)</v>
      </c>
      <c r="T84" s="8">
        <v>0.8105</v>
      </c>
      <c r="U84" s="8">
        <v>0.78159999999999996</v>
      </c>
      <c r="V84" s="8">
        <v>0.83940000000000003</v>
      </c>
      <c r="W84" s="8">
        <v>2.0799999999999999E-2</v>
      </c>
      <c r="X84" s="12" t="str">
        <f t="shared" si="8"/>
        <v>81.1 (78.2 ~ 83.9)</v>
      </c>
      <c r="Y84" s="8">
        <v>0.65710000000000002</v>
      </c>
      <c r="Z84" s="8">
        <v>0.62339999999999995</v>
      </c>
      <c r="AA84" s="8">
        <v>0.69079999999999997</v>
      </c>
      <c r="AB84" s="8">
        <v>2.4299999999999999E-2</v>
      </c>
      <c r="AC84" s="12" t="str">
        <f t="shared" si="9"/>
        <v>65.7 (62.3 ~ 69.1)</v>
      </c>
    </row>
    <row r="85" spans="1:29" x14ac:dyDescent="0.25">
      <c r="A85" s="8" t="s">
        <v>376</v>
      </c>
      <c r="B85" s="8" t="s">
        <v>185</v>
      </c>
      <c r="C85" s="8" t="s">
        <v>182</v>
      </c>
      <c r="D85" s="8">
        <v>5</v>
      </c>
      <c r="E85" s="8">
        <v>0.71630000000000005</v>
      </c>
      <c r="F85" s="8">
        <v>0.70960000000000001</v>
      </c>
      <c r="G85" s="8">
        <v>0.72309999999999997</v>
      </c>
      <c r="H85" s="8">
        <v>4.8999999999999998E-3</v>
      </c>
      <c r="I85" s="12" t="str">
        <f t="shared" si="5"/>
        <v>71.6 (71 ~ 72.3)</v>
      </c>
      <c r="J85" s="8">
        <v>0.5948</v>
      </c>
      <c r="K85" s="8">
        <v>0.57599999999999996</v>
      </c>
      <c r="L85" s="8">
        <v>0.61360000000000003</v>
      </c>
      <c r="M85" s="8">
        <v>1.3599999999999999E-2</v>
      </c>
      <c r="N85" s="12" t="str">
        <f t="shared" si="6"/>
        <v>59.5 (57.6 ~ 61.4)</v>
      </c>
      <c r="O85" s="8">
        <v>0.67620000000000002</v>
      </c>
      <c r="P85" s="8">
        <v>0.66120000000000001</v>
      </c>
      <c r="Q85" s="8">
        <v>0.69120000000000004</v>
      </c>
      <c r="R85" s="8">
        <v>1.0800000000000001E-2</v>
      </c>
      <c r="S85" s="12" t="str">
        <f t="shared" si="7"/>
        <v>67.6 (66.1 ~ 69.1)</v>
      </c>
      <c r="T85" s="8">
        <v>0.82950000000000002</v>
      </c>
      <c r="U85" s="8">
        <v>0.80820000000000003</v>
      </c>
      <c r="V85" s="8">
        <v>0.85089999999999999</v>
      </c>
      <c r="W85" s="8">
        <v>1.54E-2</v>
      </c>
      <c r="X85" s="12" t="str">
        <f t="shared" si="8"/>
        <v>83 (80.8 ~ 85.1)</v>
      </c>
      <c r="Y85" s="8">
        <v>0.67510000000000003</v>
      </c>
      <c r="Z85" s="8">
        <v>0.64470000000000005</v>
      </c>
      <c r="AA85" s="8">
        <v>0.7056</v>
      </c>
      <c r="AB85" s="8">
        <v>2.1899999999999999E-2</v>
      </c>
      <c r="AC85" s="12" t="str">
        <f t="shared" si="9"/>
        <v>67.5 (64.5 ~ 70.6)</v>
      </c>
    </row>
    <row r="86" spans="1:29" x14ac:dyDescent="0.25">
      <c r="A86" s="8" t="s">
        <v>379</v>
      </c>
      <c r="B86" s="8" t="s">
        <v>185</v>
      </c>
      <c r="C86" s="8" t="s">
        <v>184</v>
      </c>
      <c r="D86" s="8">
        <v>5</v>
      </c>
      <c r="E86" s="8">
        <v>0.70960000000000001</v>
      </c>
      <c r="F86" s="8">
        <v>0.68569999999999998</v>
      </c>
      <c r="G86" s="8">
        <v>0.73360000000000003</v>
      </c>
      <c r="H86" s="8">
        <v>1.7299999999999999E-2</v>
      </c>
      <c r="I86" s="12" t="str">
        <f t="shared" si="5"/>
        <v>71 (68.6 ~ 73.4)</v>
      </c>
      <c r="J86" s="8">
        <v>0.57699999999999996</v>
      </c>
      <c r="K86" s="8">
        <v>0.54600000000000004</v>
      </c>
      <c r="L86" s="8">
        <v>0.60799999999999998</v>
      </c>
      <c r="M86" s="8">
        <v>2.24E-2</v>
      </c>
      <c r="N86" s="12" t="str">
        <f t="shared" si="6"/>
        <v>57.7 (54.6 ~ 60.8)</v>
      </c>
      <c r="O86" s="8">
        <v>0.66300000000000003</v>
      </c>
      <c r="P86" s="8">
        <v>0.63929999999999998</v>
      </c>
      <c r="Q86" s="8">
        <v>0.68669999999999998</v>
      </c>
      <c r="R86" s="8">
        <v>1.7000000000000001E-2</v>
      </c>
      <c r="S86" s="12" t="str">
        <f t="shared" si="7"/>
        <v>66.3 (63.9 ~ 68.7)</v>
      </c>
      <c r="T86" s="8">
        <v>0.80649999999999999</v>
      </c>
      <c r="U86" s="8">
        <v>0.77669999999999995</v>
      </c>
      <c r="V86" s="8">
        <v>0.83630000000000004</v>
      </c>
      <c r="W86" s="8">
        <v>2.1499999999999998E-2</v>
      </c>
      <c r="X86" s="12" t="str">
        <f t="shared" si="8"/>
        <v>80.7 (77.7 ~ 83.6)</v>
      </c>
      <c r="Y86" s="8">
        <v>0.65269999999999995</v>
      </c>
      <c r="Z86" s="8">
        <v>0.61699999999999999</v>
      </c>
      <c r="AA86" s="8">
        <v>0.6885</v>
      </c>
      <c r="AB86" s="8">
        <v>2.5700000000000001E-2</v>
      </c>
      <c r="AC86" s="12" t="str">
        <f t="shared" si="9"/>
        <v>65.3 (61.7 ~ 68.9)</v>
      </c>
    </row>
    <row r="87" spans="1:29" x14ac:dyDescent="0.25">
      <c r="A87" s="8" t="s">
        <v>377</v>
      </c>
      <c r="B87" s="8" t="s">
        <v>185</v>
      </c>
      <c r="C87" s="8" t="s">
        <v>184</v>
      </c>
      <c r="D87" s="8">
        <v>5</v>
      </c>
      <c r="E87" s="8">
        <v>0.71460000000000001</v>
      </c>
      <c r="F87" s="8">
        <v>0.68679999999999997</v>
      </c>
      <c r="G87" s="8">
        <v>0.74250000000000005</v>
      </c>
      <c r="H87" s="8">
        <v>0.02</v>
      </c>
      <c r="I87" s="12" t="str">
        <f t="shared" si="5"/>
        <v>71.5 (68.7 ~ 74.3)</v>
      </c>
      <c r="J87" s="8">
        <v>0.5988</v>
      </c>
      <c r="K87" s="8">
        <v>0.55959999999999999</v>
      </c>
      <c r="L87" s="8">
        <v>0.63800000000000001</v>
      </c>
      <c r="M87" s="8">
        <v>2.8199999999999999E-2</v>
      </c>
      <c r="N87" s="12" t="str">
        <f t="shared" si="6"/>
        <v>59.9 (56 ~ 63.8)</v>
      </c>
      <c r="O87" s="8">
        <v>0.67520000000000002</v>
      </c>
      <c r="P87" s="8">
        <v>0.64649999999999996</v>
      </c>
      <c r="Q87" s="8">
        <v>0.70379999999999998</v>
      </c>
      <c r="R87" s="8">
        <v>2.06E-2</v>
      </c>
      <c r="S87" s="12" t="str">
        <f t="shared" si="7"/>
        <v>67.5 (64.7 ~ 70.4)</v>
      </c>
      <c r="T87" s="8">
        <v>0.80420000000000003</v>
      </c>
      <c r="U87" s="8">
        <v>0.77690000000000003</v>
      </c>
      <c r="V87" s="8">
        <v>0.83150000000000002</v>
      </c>
      <c r="W87" s="8">
        <v>1.9699999999999999E-2</v>
      </c>
      <c r="X87" s="12" t="str">
        <f t="shared" si="8"/>
        <v>80.4 (77.7 ~ 83.2)</v>
      </c>
      <c r="Y87" s="8">
        <v>0.66100000000000003</v>
      </c>
      <c r="Z87" s="8">
        <v>0.61409999999999998</v>
      </c>
      <c r="AA87" s="8">
        <v>0.70799999999999996</v>
      </c>
      <c r="AB87" s="8">
        <v>3.3799999999999997E-2</v>
      </c>
      <c r="AC87" s="12" t="str">
        <f t="shared" si="9"/>
        <v>66.1 (61.4 ~ 70.8)</v>
      </c>
    </row>
    <row r="88" spans="1:29" x14ac:dyDescent="0.25">
      <c r="A88" s="8" t="s">
        <v>377</v>
      </c>
      <c r="B88" s="8" t="s">
        <v>124</v>
      </c>
      <c r="C88" s="8" t="s">
        <v>184</v>
      </c>
      <c r="D88" s="8">
        <v>5</v>
      </c>
      <c r="E88" s="8">
        <v>0.69869999999999999</v>
      </c>
      <c r="F88" s="8">
        <v>0.68710000000000004</v>
      </c>
      <c r="G88" s="8">
        <v>0.71030000000000004</v>
      </c>
      <c r="H88" s="8">
        <v>8.3999999999999995E-3</v>
      </c>
      <c r="I88" s="12" t="str">
        <f t="shared" si="5"/>
        <v>69.9 (68.7 ~ 71)</v>
      </c>
      <c r="J88" s="8">
        <v>0.58089999999999997</v>
      </c>
      <c r="K88" s="8">
        <v>0.54100000000000004</v>
      </c>
      <c r="L88" s="8">
        <v>0.62090000000000001</v>
      </c>
      <c r="M88" s="8">
        <v>2.8799999999999999E-2</v>
      </c>
      <c r="N88" s="12" t="str">
        <f t="shared" si="6"/>
        <v>58.1 (54.1 ~ 62.1)</v>
      </c>
      <c r="O88" s="8">
        <v>0.65869999999999995</v>
      </c>
      <c r="P88" s="8">
        <v>0.63670000000000004</v>
      </c>
      <c r="Q88" s="8">
        <v>0.68079999999999996</v>
      </c>
      <c r="R88" s="8">
        <v>1.5900000000000001E-2</v>
      </c>
      <c r="S88" s="12" t="str">
        <f t="shared" si="7"/>
        <v>65.9 (63.7 ~ 68.1)</v>
      </c>
      <c r="T88" s="8">
        <v>0.80349999999999999</v>
      </c>
      <c r="U88" s="8">
        <v>0.77100000000000002</v>
      </c>
      <c r="V88" s="8">
        <v>0.83599999999999997</v>
      </c>
      <c r="W88" s="8">
        <v>2.3400000000000001E-2</v>
      </c>
      <c r="X88" s="12" t="str">
        <f t="shared" si="8"/>
        <v>80.4 (77.1 ~ 83.6)</v>
      </c>
      <c r="Y88" s="8">
        <v>0.64239999999999997</v>
      </c>
      <c r="Z88" s="8">
        <v>0.59760000000000002</v>
      </c>
      <c r="AA88" s="8">
        <v>0.68710000000000004</v>
      </c>
      <c r="AB88" s="8">
        <v>3.2199999999999999E-2</v>
      </c>
      <c r="AC88" s="12" t="str">
        <f t="shared" si="9"/>
        <v>64.2 (59.8 ~ 68.7)</v>
      </c>
    </row>
    <row r="89" spans="1:29" x14ac:dyDescent="0.25">
      <c r="A89" s="8" t="s">
        <v>380</v>
      </c>
      <c r="B89" s="8" t="s">
        <v>185</v>
      </c>
      <c r="C89" s="8" t="s">
        <v>184</v>
      </c>
      <c r="D89" s="8">
        <v>5</v>
      </c>
      <c r="E89" s="8">
        <v>0.71550000000000002</v>
      </c>
      <c r="F89" s="8">
        <v>0.68679999999999997</v>
      </c>
      <c r="G89" s="8">
        <v>0.74419999999999997</v>
      </c>
      <c r="H89" s="8">
        <v>2.07E-2</v>
      </c>
      <c r="I89" s="12" t="str">
        <f t="shared" si="5"/>
        <v>71.6 (68.7 ~ 74.4)</v>
      </c>
      <c r="J89" s="8">
        <v>0.59009999999999996</v>
      </c>
      <c r="K89" s="8">
        <v>0.53010000000000002</v>
      </c>
      <c r="L89" s="8">
        <v>0.65</v>
      </c>
      <c r="M89" s="8">
        <v>4.3200000000000002E-2</v>
      </c>
      <c r="N89" s="12" t="str">
        <f t="shared" si="6"/>
        <v>59 (53 ~ 65)</v>
      </c>
      <c r="O89" s="8">
        <v>0.67190000000000005</v>
      </c>
      <c r="P89" s="8">
        <v>0.63029999999999997</v>
      </c>
      <c r="Q89" s="8">
        <v>0.71350000000000002</v>
      </c>
      <c r="R89" s="8">
        <v>0.03</v>
      </c>
      <c r="S89" s="12" t="str">
        <f t="shared" si="7"/>
        <v>67.2 (63 ~ 71.4)</v>
      </c>
      <c r="T89" s="8">
        <v>0.80349999999999999</v>
      </c>
      <c r="U89" s="8">
        <v>0.78280000000000005</v>
      </c>
      <c r="V89" s="8">
        <v>0.82430000000000003</v>
      </c>
      <c r="W89" s="8">
        <v>1.4999999999999999E-2</v>
      </c>
      <c r="X89" s="12" t="str">
        <f t="shared" si="8"/>
        <v>80.4 (78.3 ~ 82.4)</v>
      </c>
      <c r="Y89" s="8">
        <v>0.64839999999999998</v>
      </c>
      <c r="Z89" s="8">
        <v>0.60589999999999999</v>
      </c>
      <c r="AA89" s="8">
        <v>0.69079999999999997</v>
      </c>
      <c r="AB89" s="8">
        <v>3.0599999999999999E-2</v>
      </c>
      <c r="AC89" s="12" t="str">
        <f t="shared" si="9"/>
        <v>64.8 (60.6 ~ 69.1)</v>
      </c>
    </row>
    <row r="90" spans="1:29" x14ac:dyDescent="0.25">
      <c r="A90" s="8" t="s">
        <v>380</v>
      </c>
      <c r="B90" s="8" t="s">
        <v>124</v>
      </c>
      <c r="C90" s="8" t="s">
        <v>182</v>
      </c>
      <c r="D90" s="8">
        <v>5</v>
      </c>
      <c r="E90" s="8">
        <v>0.69369999999999998</v>
      </c>
      <c r="F90" s="8">
        <v>0.67290000000000005</v>
      </c>
      <c r="G90" s="8">
        <v>0.71460000000000001</v>
      </c>
      <c r="H90" s="8">
        <v>1.4999999999999999E-2</v>
      </c>
      <c r="I90" s="12" t="str">
        <f t="shared" si="5"/>
        <v>69.4 (67.3 ~ 71.5)</v>
      </c>
      <c r="J90" s="8">
        <v>0.60189999999999999</v>
      </c>
      <c r="K90" s="8">
        <v>0.56310000000000004</v>
      </c>
      <c r="L90" s="8">
        <v>0.64080000000000004</v>
      </c>
      <c r="M90" s="8">
        <v>2.8000000000000001E-2</v>
      </c>
      <c r="N90" s="12" t="str">
        <f t="shared" si="6"/>
        <v>60.2 (56.3 ~ 64.1)</v>
      </c>
      <c r="O90" s="8">
        <v>0.67069999999999996</v>
      </c>
      <c r="P90" s="8">
        <v>0.64339999999999997</v>
      </c>
      <c r="Q90" s="8">
        <v>0.69799999999999995</v>
      </c>
      <c r="R90" s="8">
        <v>1.9699999999999999E-2</v>
      </c>
      <c r="S90" s="12" t="str">
        <f t="shared" si="7"/>
        <v>67.1 (64.3 ~ 69.8)</v>
      </c>
      <c r="T90" s="8">
        <v>0.79990000000000006</v>
      </c>
      <c r="U90" s="8">
        <v>0.76390000000000002</v>
      </c>
      <c r="V90" s="8">
        <v>0.83579999999999999</v>
      </c>
      <c r="W90" s="8">
        <v>2.5899999999999999E-2</v>
      </c>
      <c r="X90" s="12" t="str">
        <f t="shared" si="8"/>
        <v>80 (76.4 ~ 83.6)</v>
      </c>
      <c r="Y90" s="8">
        <v>0.65210000000000001</v>
      </c>
      <c r="Z90" s="8">
        <v>0.61150000000000004</v>
      </c>
      <c r="AA90" s="8">
        <v>0.69269999999999998</v>
      </c>
      <c r="AB90" s="8">
        <v>2.93E-2</v>
      </c>
      <c r="AC90" s="12" t="str">
        <f t="shared" si="9"/>
        <v>65.2 (61.2 ~ 69.3)</v>
      </c>
    </row>
    <row r="91" spans="1:29" x14ac:dyDescent="0.25">
      <c r="A91" s="8" t="s">
        <v>376</v>
      </c>
      <c r="B91" s="8" t="s">
        <v>124</v>
      </c>
      <c r="C91" s="8" t="s">
        <v>184</v>
      </c>
      <c r="D91" s="8">
        <v>5</v>
      </c>
      <c r="E91" s="8">
        <v>0.69369999999999998</v>
      </c>
      <c r="F91" s="8">
        <v>0.67010000000000003</v>
      </c>
      <c r="G91" s="8">
        <v>0.71740000000000004</v>
      </c>
      <c r="H91" s="8">
        <v>1.7000000000000001E-2</v>
      </c>
      <c r="I91" s="12" t="str">
        <f t="shared" ref="I91:I103" si="10">ROUND(E91*100,1)&amp;" ("&amp;ROUND(F91*100,1)&amp;" ~ "&amp;ROUND(G91*100,1)&amp;")"</f>
        <v>69.4 (67 ~ 71.7)</v>
      </c>
      <c r="J91" s="8">
        <v>0.5857</v>
      </c>
      <c r="K91" s="8">
        <v>0.54630000000000001</v>
      </c>
      <c r="L91" s="8">
        <v>0.62519999999999998</v>
      </c>
      <c r="M91" s="8">
        <v>2.8400000000000002E-2</v>
      </c>
      <c r="N91" s="12" t="str">
        <f t="shared" ref="N91:N103" si="11">ROUND(J91*100,1)&amp;" ("&amp;ROUND(K91*100,1)&amp;" ~ "&amp;ROUND(L91*100,1)&amp;")"</f>
        <v>58.6 (54.6 ~ 62.5)</v>
      </c>
      <c r="O91" s="8">
        <v>0.66110000000000002</v>
      </c>
      <c r="P91" s="8">
        <v>0.63029999999999997</v>
      </c>
      <c r="Q91" s="8">
        <v>0.69179999999999997</v>
      </c>
      <c r="R91" s="8">
        <v>2.2100000000000002E-2</v>
      </c>
      <c r="S91" s="12" t="str">
        <f t="shared" ref="S91:S103" si="12">ROUND(O91*100,1)&amp;" ("&amp;ROUND(P91*100,1)&amp;" ~ "&amp;ROUND(Q91*100,1)&amp;")"</f>
        <v>66.1 (63 ~ 69.2)</v>
      </c>
      <c r="T91" s="8">
        <v>0.79930000000000001</v>
      </c>
      <c r="U91" s="8">
        <v>0.76670000000000005</v>
      </c>
      <c r="V91" s="8">
        <v>0.83179999999999998</v>
      </c>
      <c r="W91" s="8">
        <v>2.35E-2</v>
      </c>
      <c r="X91" s="12" t="str">
        <f t="shared" ref="X91:X103" si="13">ROUND(T91*100,1)&amp;" ("&amp;ROUND(U91*100,1)&amp;" ~ "&amp;ROUND(V91*100,1)&amp;")"</f>
        <v>79.9 (76.7 ~ 83.2)</v>
      </c>
      <c r="Y91" s="8">
        <v>0.63449999999999995</v>
      </c>
      <c r="Z91" s="8">
        <v>0.59589999999999999</v>
      </c>
      <c r="AA91" s="8">
        <v>0.67310000000000003</v>
      </c>
      <c r="AB91" s="8">
        <v>2.7799999999999998E-2</v>
      </c>
      <c r="AC91" s="12" t="str">
        <f t="shared" ref="AC91:AC103" si="14">ROUND(Y91*100,1)&amp;" ("&amp;ROUND(Z91*100,1)&amp;" ~ "&amp;ROUND(AA91*100,1)&amp;")"</f>
        <v>63.5 (59.6 ~ 67.3)</v>
      </c>
    </row>
    <row r="92" spans="1:29" x14ac:dyDescent="0.25">
      <c r="A92" s="8" t="s">
        <v>378</v>
      </c>
      <c r="B92" s="8" t="s">
        <v>185</v>
      </c>
      <c r="C92" s="8" t="s">
        <v>184</v>
      </c>
      <c r="D92" s="8">
        <v>5</v>
      </c>
      <c r="E92" s="8">
        <v>0.70209999999999995</v>
      </c>
      <c r="F92" s="8">
        <v>0.68510000000000004</v>
      </c>
      <c r="G92" s="8">
        <v>0.71909999999999996</v>
      </c>
      <c r="H92" s="8">
        <v>1.2200000000000001E-2</v>
      </c>
      <c r="I92" s="12" t="str">
        <f t="shared" si="10"/>
        <v>70.2 (68.5 ~ 71.9)</v>
      </c>
      <c r="J92" s="8">
        <v>0.5615</v>
      </c>
      <c r="K92" s="8">
        <v>0.51919999999999999</v>
      </c>
      <c r="L92" s="8">
        <v>0.60389999999999999</v>
      </c>
      <c r="M92" s="8">
        <v>3.0499999999999999E-2</v>
      </c>
      <c r="N92" s="12" t="str">
        <f t="shared" si="11"/>
        <v>56.2 (51.9 ~ 60.4)</v>
      </c>
      <c r="O92" s="8">
        <v>0.65</v>
      </c>
      <c r="P92" s="8">
        <v>0.61970000000000003</v>
      </c>
      <c r="Q92" s="8">
        <v>0.68030000000000002</v>
      </c>
      <c r="R92" s="8">
        <v>2.18E-2</v>
      </c>
      <c r="S92" s="12" t="str">
        <f t="shared" si="12"/>
        <v>65 (62 ~ 68)</v>
      </c>
      <c r="T92" s="8">
        <v>0.79910000000000003</v>
      </c>
      <c r="U92" s="8">
        <v>0.77229999999999999</v>
      </c>
      <c r="V92" s="8">
        <v>0.82579999999999998</v>
      </c>
      <c r="W92" s="8">
        <v>1.9300000000000001E-2</v>
      </c>
      <c r="X92" s="12" t="str">
        <f t="shared" si="13"/>
        <v>79.9 (77.2 ~ 82.6)</v>
      </c>
      <c r="Y92" s="8">
        <v>0.64249999999999996</v>
      </c>
      <c r="Z92" s="8">
        <v>0.60429999999999995</v>
      </c>
      <c r="AA92" s="8">
        <v>0.68059999999999998</v>
      </c>
      <c r="AB92" s="8">
        <v>2.75E-2</v>
      </c>
      <c r="AC92" s="12" t="str">
        <f t="shared" si="14"/>
        <v>64.3 (60.4 ~ 68.1)</v>
      </c>
    </row>
    <row r="93" spans="1:29" x14ac:dyDescent="0.25">
      <c r="A93" s="8" t="s">
        <v>378</v>
      </c>
      <c r="B93" s="8" t="s">
        <v>124</v>
      </c>
      <c r="C93" s="8" t="s">
        <v>182</v>
      </c>
      <c r="D93" s="8">
        <v>5</v>
      </c>
      <c r="E93" s="8">
        <v>0.69289999999999996</v>
      </c>
      <c r="F93" s="8">
        <v>0.6623</v>
      </c>
      <c r="G93" s="8">
        <v>0.72350000000000003</v>
      </c>
      <c r="H93" s="8">
        <v>2.2100000000000002E-2</v>
      </c>
      <c r="I93" s="12" t="str">
        <f t="shared" si="10"/>
        <v>69.3 (66.2 ~ 72.4)</v>
      </c>
      <c r="J93" s="8">
        <v>0.60560000000000003</v>
      </c>
      <c r="K93" s="8">
        <v>0.5665</v>
      </c>
      <c r="L93" s="8">
        <v>0.64470000000000005</v>
      </c>
      <c r="M93" s="8">
        <v>2.8199999999999999E-2</v>
      </c>
      <c r="N93" s="12" t="str">
        <f t="shared" si="11"/>
        <v>60.6 (56.7 ~ 64.5)</v>
      </c>
      <c r="O93" s="8">
        <v>0.6704</v>
      </c>
      <c r="P93" s="8">
        <v>0.63939999999999997</v>
      </c>
      <c r="Q93" s="8">
        <v>0.70140000000000002</v>
      </c>
      <c r="R93" s="8">
        <v>2.23E-2</v>
      </c>
      <c r="S93" s="12" t="str">
        <f t="shared" si="12"/>
        <v>67 (63.9 ~ 70.1)</v>
      </c>
      <c r="T93" s="8">
        <v>0.79700000000000004</v>
      </c>
      <c r="U93" s="8">
        <v>0.7792</v>
      </c>
      <c r="V93" s="8">
        <v>0.81469999999999998</v>
      </c>
      <c r="W93" s="8">
        <v>1.2800000000000001E-2</v>
      </c>
      <c r="X93" s="12" t="str">
        <f t="shared" si="13"/>
        <v>79.7 (77.9 ~ 81.5)</v>
      </c>
      <c r="Y93" s="8">
        <v>0.64439999999999997</v>
      </c>
      <c r="Z93" s="8">
        <v>0.62429999999999997</v>
      </c>
      <c r="AA93" s="8">
        <v>0.66449999999999998</v>
      </c>
      <c r="AB93" s="8">
        <v>1.4500000000000001E-2</v>
      </c>
      <c r="AC93" s="12" t="str">
        <f t="shared" si="14"/>
        <v>64.4 (62.4 ~ 66.5)</v>
      </c>
    </row>
    <row r="94" spans="1:29" x14ac:dyDescent="0.25">
      <c r="A94" s="8" t="s">
        <v>378</v>
      </c>
      <c r="B94" s="8" t="s">
        <v>124</v>
      </c>
      <c r="C94" s="8" t="s">
        <v>184</v>
      </c>
      <c r="D94" s="8">
        <v>5</v>
      </c>
      <c r="E94" s="8">
        <v>0.6895</v>
      </c>
      <c r="F94" s="8">
        <v>0.66669999999999996</v>
      </c>
      <c r="G94" s="8">
        <v>0.71230000000000004</v>
      </c>
      <c r="H94" s="8">
        <v>1.6400000000000001E-2</v>
      </c>
      <c r="I94" s="12" t="str">
        <f t="shared" si="10"/>
        <v>69 (66.7 ~ 71.2)</v>
      </c>
      <c r="J94" s="8">
        <v>0.58179999999999998</v>
      </c>
      <c r="K94" s="8">
        <v>0.54430000000000001</v>
      </c>
      <c r="L94" s="8">
        <v>0.61919999999999997</v>
      </c>
      <c r="M94" s="8">
        <v>2.7E-2</v>
      </c>
      <c r="N94" s="12" t="str">
        <f t="shared" si="11"/>
        <v>58.2 (54.4 ~ 61.9)</v>
      </c>
      <c r="O94" s="8">
        <v>0.65559999999999996</v>
      </c>
      <c r="P94" s="8">
        <v>0.629</v>
      </c>
      <c r="Q94" s="8">
        <v>0.68230000000000002</v>
      </c>
      <c r="R94" s="8">
        <v>1.9199999999999998E-2</v>
      </c>
      <c r="S94" s="12" t="str">
        <f t="shared" si="12"/>
        <v>65.6 (62.9 ~ 68.2)</v>
      </c>
      <c r="T94" s="8">
        <v>0.79430000000000001</v>
      </c>
      <c r="U94" s="8">
        <v>0.75780000000000003</v>
      </c>
      <c r="V94" s="8">
        <v>0.83089999999999997</v>
      </c>
      <c r="W94" s="8">
        <v>2.63E-2</v>
      </c>
      <c r="X94" s="12" t="str">
        <f t="shared" si="13"/>
        <v>79.4 (75.8 ~ 83.1)</v>
      </c>
      <c r="Y94" s="8">
        <v>0.63190000000000002</v>
      </c>
      <c r="Z94" s="8">
        <v>0.58830000000000005</v>
      </c>
      <c r="AA94" s="8">
        <v>0.6754</v>
      </c>
      <c r="AB94" s="8">
        <v>3.1399999999999997E-2</v>
      </c>
      <c r="AC94" s="12" t="str">
        <f t="shared" si="14"/>
        <v>63.2 (58.8 ~ 67.5)</v>
      </c>
    </row>
    <row r="95" spans="1:29" x14ac:dyDescent="0.25">
      <c r="A95" s="8" t="s">
        <v>379</v>
      </c>
      <c r="B95" s="8" t="s">
        <v>124</v>
      </c>
      <c r="C95" s="8" t="s">
        <v>182</v>
      </c>
      <c r="D95" s="8">
        <v>5</v>
      </c>
      <c r="E95" s="8">
        <v>0.67700000000000005</v>
      </c>
      <c r="F95" s="8">
        <v>0.64549999999999996</v>
      </c>
      <c r="G95" s="8">
        <v>0.70850000000000002</v>
      </c>
      <c r="H95" s="8">
        <v>2.2700000000000001E-2</v>
      </c>
      <c r="I95" s="12" t="str">
        <f t="shared" si="10"/>
        <v>67.7 (64.6 ~ 70.9)</v>
      </c>
      <c r="J95" s="8">
        <v>0.58789999999999998</v>
      </c>
      <c r="K95" s="8">
        <v>0.54949999999999999</v>
      </c>
      <c r="L95" s="8">
        <v>0.62629999999999997</v>
      </c>
      <c r="M95" s="8">
        <v>2.76E-2</v>
      </c>
      <c r="N95" s="12" t="str">
        <f t="shared" si="11"/>
        <v>58.8 (55 ~ 62.6)</v>
      </c>
      <c r="O95" s="8">
        <v>0.65569999999999995</v>
      </c>
      <c r="P95" s="8">
        <v>0.62519999999999998</v>
      </c>
      <c r="Q95" s="8">
        <v>0.68620000000000003</v>
      </c>
      <c r="R95" s="8">
        <v>2.1999999999999999E-2</v>
      </c>
      <c r="S95" s="12" t="str">
        <f t="shared" si="12"/>
        <v>65.6 (62.5 ~ 68.6)</v>
      </c>
      <c r="T95" s="8">
        <v>0.79320000000000002</v>
      </c>
      <c r="U95" s="8">
        <v>0.76570000000000005</v>
      </c>
      <c r="V95" s="8">
        <v>0.82079999999999997</v>
      </c>
      <c r="W95" s="8">
        <v>1.9800000000000002E-2</v>
      </c>
      <c r="X95" s="12" t="str">
        <f t="shared" si="13"/>
        <v>79.3 (76.6 ~ 82.1)</v>
      </c>
      <c r="Y95" s="8">
        <v>0.63939999999999997</v>
      </c>
      <c r="Z95" s="8">
        <v>0.61</v>
      </c>
      <c r="AA95" s="8">
        <v>0.66879999999999995</v>
      </c>
      <c r="AB95" s="8">
        <v>2.12E-2</v>
      </c>
      <c r="AC95" s="12" t="str">
        <f t="shared" si="14"/>
        <v>63.9 (61 ~ 66.9)</v>
      </c>
    </row>
    <row r="96" spans="1:29" x14ac:dyDescent="0.25">
      <c r="A96" s="8" t="s">
        <v>379</v>
      </c>
      <c r="B96" s="8" t="s">
        <v>124</v>
      </c>
      <c r="C96" s="8" t="s">
        <v>184</v>
      </c>
      <c r="D96" s="8">
        <v>5</v>
      </c>
      <c r="E96" s="8">
        <v>0.68620000000000003</v>
      </c>
      <c r="F96" s="8">
        <v>0.66349999999999998</v>
      </c>
      <c r="G96" s="8">
        <v>0.70879999999999999</v>
      </c>
      <c r="H96" s="8">
        <v>1.6299999999999999E-2</v>
      </c>
      <c r="I96" s="12" t="str">
        <f t="shared" si="10"/>
        <v>68.6 (66.4 ~ 70.9)</v>
      </c>
      <c r="J96" s="8">
        <v>0.57779999999999998</v>
      </c>
      <c r="K96" s="8">
        <v>0.54910000000000003</v>
      </c>
      <c r="L96" s="8">
        <v>0.60650000000000004</v>
      </c>
      <c r="M96" s="8">
        <v>2.07E-2</v>
      </c>
      <c r="N96" s="12" t="str">
        <f t="shared" si="11"/>
        <v>57.8 (54.9 ~ 60.7)</v>
      </c>
      <c r="O96" s="8">
        <v>0.65349999999999997</v>
      </c>
      <c r="P96" s="8">
        <v>0.63139999999999996</v>
      </c>
      <c r="Q96" s="8">
        <v>0.67549999999999999</v>
      </c>
      <c r="R96" s="8">
        <v>1.5900000000000001E-2</v>
      </c>
      <c r="S96" s="12" t="str">
        <f t="shared" si="12"/>
        <v>65.4 (63.1 ~ 67.6)</v>
      </c>
      <c r="T96" s="8">
        <v>0.79190000000000005</v>
      </c>
      <c r="U96" s="8">
        <v>0.75990000000000002</v>
      </c>
      <c r="V96" s="8">
        <v>0.82389999999999997</v>
      </c>
      <c r="W96" s="8">
        <v>2.3E-2</v>
      </c>
      <c r="X96" s="12" t="str">
        <f t="shared" si="13"/>
        <v>79.2 (76 ~ 82.4)</v>
      </c>
      <c r="Y96" s="8">
        <v>0.63170000000000004</v>
      </c>
      <c r="Z96" s="8">
        <v>0.5927</v>
      </c>
      <c r="AA96" s="8">
        <v>0.67069999999999996</v>
      </c>
      <c r="AB96" s="8">
        <v>2.81E-2</v>
      </c>
      <c r="AC96" s="12" t="str">
        <f t="shared" si="14"/>
        <v>63.2 (59.3 ~ 67.1)</v>
      </c>
    </row>
    <row r="97" spans="1:29" x14ac:dyDescent="0.25">
      <c r="A97" s="8" t="s">
        <v>380</v>
      </c>
      <c r="B97" s="8" t="s">
        <v>124</v>
      </c>
      <c r="C97" s="8" t="s">
        <v>184</v>
      </c>
      <c r="D97" s="8">
        <v>5</v>
      </c>
      <c r="E97" s="8">
        <v>0.68369999999999997</v>
      </c>
      <c r="F97" s="8">
        <v>0.65890000000000004</v>
      </c>
      <c r="G97" s="8">
        <v>0.70850000000000002</v>
      </c>
      <c r="H97" s="8">
        <v>1.78E-2</v>
      </c>
      <c r="I97" s="12" t="str">
        <f t="shared" si="10"/>
        <v>68.4 (65.9 ~ 70.9)</v>
      </c>
      <c r="J97" s="8">
        <v>0.57299999999999995</v>
      </c>
      <c r="K97" s="8">
        <v>0.53739999999999999</v>
      </c>
      <c r="L97" s="8">
        <v>0.60870000000000002</v>
      </c>
      <c r="M97" s="8">
        <v>2.5700000000000001E-2</v>
      </c>
      <c r="N97" s="12" t="str">
        <f t="shared" si="11"/>
        <v>57.3 (53.7 ~ 60.9)</v>
      </c>
      <c r="O97" s="8">
        <v>0.64870000000000005</v>
      </c>
      <c r="P97" s="8">
        <v>0.62080000000000002</v>
      </c>
      <c r="Q97" s="8">
        <v>0.67669999999999997</v>
      </c>
      <c r="R97" s="8">
        <v>2.01E-2</v>
      </c>
      <c r="S97" s="12" t="str">
        <f t="shared" si="12"/>
        <v>64.9 (62.1 ~ 67.7)</v>
      </c>
      <c r="T97" s="8">
        <v>0.79179999999999995</v>
      </c>
      <c r="U97" s="8">
        <v>0.75560000000000005</v>
      </c>
      <c r="V97" s="8">
        <v>0.82799999999999996</v>
      </c>
      <c r="W97" s="8">
        <v>2.6100000000000002E-2</v>
      </c>
      <c r="X97" s="12" t="str">
        <f t="shared" si="13"/>
        <v>79.2 (75.6 ~ 82.8)</v>
      </c>
      <c r="Y97" s="8">
        <v>0.63519999999999999</v>
      </c>
      <c r="Z97" s="8">
        <v>0.57920000000000005</v>
      </c>
      <c r="AA97" s="8">
        <v>0.69120000000000004</v>
      </c>
      <c r="AB97" s="8">
        <v>4.0399999999999998E-2</v>
      </c>
      <c r="AC97" s="12" t="str">
        <f t="shared" si="14"/>
        <v>63.5 (57.9 ~ 69.1)</v>
      </c>
    </row>
    <row r="98" spans="1:29" x14ac:dyDescent="0.25">
      <c r="A98" s="8" t="s">
        <v>380</v>
      </c>
      <c r="B98" s="8" t="s">
        <v>124</v>
      </c>
      <c r="C98" s="8" t="s">
        <v>183</v>
      </c>
      <c r="D98" s="8">
        <v>5</v>
      </c>
      <c r="E98" s="8">
        <v>0.59079999999999999</v>
      </c>
      <c r="F98" s="8">
        <v>0.56920000000000004</v>
      </c>
      <c r="G98" s="8">
        <v>0.61229999999999996</v>
      </c>
      <c r="H98" s="8">
        <v>1.55E-2</v>
      </c>
      <c r="I98" s="12" t="str">
        <f t="shared" si="10"/>
        <v>59.1 (56.9 ~ 61.2)</v>
      </c>
      <c r="J98" s="8">
        <v>0.56779999999999997</v>
      </c>
      <c r="K98" s="8">
        <v>0.54659999999999997</v>
      </c>
      <c r="L98" s="8">
        <v>0.58899999999999997</v>
      </c>
      <c r="M98" s="8">
        <v>1.5299999999999999E-2</v>
      </c>
      <c r="N98" s="12" t="str">
        <f t="shared" si="11"/>
        <v>56.8 (54.7 ~ 58.9)</v>
      </c>
      <c r="O98" s="8">
        <v>0.60419999999999996</v>
      </c>
      <c r="P98" s="8">
        <v>0.57669999999999999</v>
      </c>
      <c r="Q98" s="8">
        <v>0.63170000000000004</v>
      </c>
      <c r="R98" s="8">
        <v>1.9800000000000002E-2</v>
      </c>
      <c r="S98" s="12" t="str">
        <f t="shared" si="12"/>
        <v>60.4 (57.7 ~ 63.2)</v>
      </c>
      <c r="T98" s="8">
        <v>0.79159999999999997</v>
      </c>
      <c r="U98" s="8">
        <v>0.76649999999999996</v>
      </c>
      <c r="V98" s="8">
        <v>0.81659999999999999</v>
      </c>
      <c r="W98" s="8">
        <v>1.7999999999999999E-2</v>
      </c>
      <c r="X98" s="12" t="str">
        <f t="shared" si="13"/>
        <v>79.2 (76.7 ~ 81.7)</v>
      </c>
      <c r="Y98" s="8">
        <v>0.64180000000000004</v>
      </c>
      <c r="Z98" s="8">
        <v>0.6119</v>
      </c>
      <c r="AA98" s="8">
        <v>0.67159999999999997</v>
      </c>
      <c r="AB98" s="8">
        <v>2.1499999999999998E-2</v>
      </c>
      <c r="AC98" s="12" t="str">
        <f t="shared" si="14"/>
        <v>64.2 (61.2 ~ 67.2)</v>
      </c>
    </row>
    <row r="99" spans="1:29" x14ac:dyDescent="0.25">
      <c r="A99" s="8" t="s">
        <v>377</v>
      </c>
      <c r="B99" s="8" t="s">
        <v>124</v>
      </c>
      <c r="C99" s="8" t="s">
        <v>183</v>
      </c>
      <c r="D99" s="8">
        <v>5</v>
      </c>
      <c r="E99" s="8">
        <v>0.5766</v>
      </c>
      <c r="F99" s="8">
        <v>0.53380000000000005</v>
      </c>
      <c r="G99" s="8">
        <v>0.61929999999999996</v>
      </c>
      <c r="H99" s="8">
        <v>3.0800000000000001E-2</v>
      </c>
      <c r="I99" s="12" t="str">
        <f t="shared" si="10"/>
        <v>57.7 (53.4 ~ 61.9)</v>
      </c>
      <c r="J99" s="8">
        <v>0.54990000000000006</v>
      </c>
      <c r="K99" s="8">
        <v>0.50570000000000004</v>
      </c>
      <c r="L99" s="8">
        <v>0.59399999999999997</v>
      </c>
      <c r="M99" s="8">
        <v>3.1800000000000002E-2</v>
      </c>
      <c r="N99" s="12" t="str">
        <f t="shared" si="11"/>
        <v>55 (50.6 ~ 59.4)</v>
      </c>
      <c r="O99" s="8">
        <v>0.58809999999999996</v>
      </c>
      <c r="P99" s="8">
        <v>0.53090000000000004</v>
      </c>
      <c r="Q99" s="8">
        <v>0.64529999999999998</v>
      </c>
      <c r="R99" s="8">
        <v>4.1200000000000001E-2</v>
      </c>
      <c r="S99" s="12" t="str">
        <f t="shared" si="12"/>
        <v>58.8 (53.1 ~ 64.5)</v>
      </c>
      <c r="T99" s="8">
        <v>0.78700000000000003</v>
      </c>
      <c r="U99" s="8">
        <v>0.76439999999999997</v>
      </c>
      <c r="V99" s="8">
        <v>0.80959999999999999</v>
      </c>
      <c r="W99" s="8">
        <v>1.6299999999999999E-2</v>
      </c>
      <c r="X99" s="12" t="str">
        <f t="shared" si="13"/>
        <v>78.7 (76.4 ~ 81)</v>
      </c>
      <c r="Y99" s="8">
        <v>0.6351</v>
      </c>
      <c r="Z99" s="8">
        <v>0.61080000000000001</v>
      </c>
      <c r="AA99" s="8">
        <v>0.65949999999999998</v>
      </c>
      <c r="AB99" s="8">
        <v>1.7500000000000002E-2</v>
      </c>
      <c r="AC99" s="12" t="str">
        <f t="shared" si="14"/>
        <v>63.5 (61.1 ~ 66)</v>
      </c>
    </row>
    <row r="100" spans="1:29" x14ac:dyDescent="0.25">
      <c r="A100" s="8" t="s">
        <v>379</v>
      </c>
      <c r="B100" s="8" t="s">
        <v>124</v>
      </c>
      <c r="C100" s="8" t="s">
        <v>183</v>
      </c>
      <c r="D100" s="8">
        <v>5</v>
      </c>
      <c r="E100" s="8">
        <v>0.57989999999999997</v>
      </c>
      <c r="F100" s="8">
        <v>0.54859999999999998</v>
      </c>
      <c r="G100" s="8">
        <v>0.61119999999999997</v>
      </c>
      <c r="H100" s="8">
        <v>2.2599999999999999E-2</v>
      </c>
      <c r="I100" s="12" t="str">
        <f t="shared" si="10"/>
        <v>58 (54.9 ~ 61.1)</v>
      </c>
      <c r="J100" s="8">
        <v>0.55840000000000001</v>
      </c>
      <c r="K100" s="8">
        <v>0.53039999999999998</v>
      </c>
      <c r="L100" s="8">
        <v>0.58650000000000002</v>
      </c>
      <c r="M100" s="8">
        <v>2.0199999999999999E-2</v>
      </c>
      <c r="N100" s="12" t="str">
        <f t="shared" si="11"/>
        <v>55.8 (53 ~ 58.7)</v>
      </c>
      <c r="O100" s="8">
        <v>0.59630000000000005</v>
      </c>
      <c r="P100" s="8">
        <v>0.55989999999999995</v>
      </c>
      <c r="Q100" s="8">
        <v>0.63270000000000004</v>
      </c>
      <c r="R100" s="8">
        <v>2.6200000000000001E-2</v>
      </c>
      <c r="S100" s="12" t="str">
        <f t="shared" si="12"/>
        <v>59.6 (56 ~ 63.3)</v>
      </c>
      <c r="T100" s="8">
        <v>0.78600000000000003</v>
      </c>
      <c r="U100" s="8">
        <v>0.76800000000000002</v>
      </c>
      <c r="V100" s="8">
        <v>0.80389999999999995</v>
      </c>
      <c r="W100" s="8">
        <v>1.29E-2</v>
      </c>
      <c r="X100" s="12" t="str">
        <f t="shared" si="13"/>
        <v>78.6 (76.8 ~ 80.4)</v>
      </c>
      <c r="Y100" s="8">
        <v>0.63880000000000003</v>
      </c>
      <c r="Z100" s="8">
        <v>0.61970000000000003</v>
      </c>
      <c r="AA100" s="8">
        <v>0.65790000000000004</v>
      </c>
      <c r="AB100" s="8">
        <v>1.38E-2</v>
      </c>
      <c r="AC100" s="12" t="str">
        <f t="shared" si="14"/>
        <v>63.9 (62 ~ 65.8)</v>
      </c>
    </row>
    <row r="101" spans="1:29" x14ac:dyDescent="0.25">
      <c r="A101" s="8" t="s">
        <v>376</v>
      </c>
      <c r="B101" s="8" t="s">
        <v>124</v>
      </c>
      <c r="C101" s="8" t="s">
        <v>183</v>
      </c>
      <c r="D101" s="8">
        <v>5</v>
      </c>
      <c r="E101" s="8">
        <v>0.58160000000000001</v>
      </c>
      <c r="F101" s="8">
        <v>0.55110000000000003</v>
      </c>
      <c r="G101" s="8">
        <v>0.61209999999999998</v>
      </c>
      <c r="H101" s="8">
        <v>2.1999999999999999E-2</v>
      </c>
      <c r="I101" s="12" t="str">
        <f t="shared" si="10"/>
        <v>58.2 (55.1 ~ 61.2)</v>
      </c>
      <c r="J101" s="8">
        <v>0.56189999999999996</v>
      </c>
      <c r="K101" s="8">
        <v>0.52880000000000005</v>
      </c>
      <c r="L101" s="8">
        <v>0.59499999999999997</v>
      </c>
      <c r="M101" s="8">
        <v>2.3900000000000001E-2</v>
      </c>
      <c r="N101" s="12" t="str">
        <f t="shared" si="11"/>
        <v>56.2 (52.9 ~ 59.5)</v>
      </c>
      <c r="O101" s="8">
        <v>0.6</v>
      </c>
      <c r="P101" s="8">
        <v>0.5655</v>
      </c>
      <c r="Q101" s="8">
        <v>0.63439999999999996</v>
      </c>
      <c r="R101" s="8">
        <v>2.4799999999999999E-2</v>
      </c>
      <c r="S101" s="12" t="str">
        <f t="shared" si="12"/>
        <v>60 (56.6 ~ 63.4)</v>
      </c>
      <c r="T101" s="8">
        <v>0.78549999999999998</v>
      </c>
      <c r="U101" s="8">
        <v>0.76470000000000005</v>
      </c>
      <c r="V101" s="8">
        <v>0.80630000000000002</v>
      </c>
      <c r="W101" s="8">
        <v>1.4999999999999999E-2</v>
      </c>
      <c r="X101" s="12" t="str">
        <f t="shared" si="13"/>
        <v>78.6 (76.5 ~ 80.6)</v>
      </c>
      <c r="Y101" s="8">
        <v>0.63270000000000004</v>
      </c>
      <c r="Z101" s="8">
        <v>0.6119</v>
      </c>
      <c r="AA101" s="8">
        <v>0.65359999999999996</v>
      </c>
      <c r="AB101" s="8">
        <v>1.4999999999999999E-2</v>
      </c>
      <c r="AC101" s="12" t="str">
        <f t="shared" si="14"/>
        <v>63.3 (61.2 ~ 65.4)</v>
      </c>
    </row>
    <row r="102" spans="1:29" x14ac:dyDescent="0.25">
      <c r="A102" s="8" t="s">
        <v>378</v>
      </c>
      <c r="B102" s="8" t="s">
        <v>124</v>
      </c>
      <c r="C102" s="8" t="s">
        <v>183</v>
      </c>
      <c r="D102" s="8">
        <v>5</v>
      </c>
      <c r="E102" s="8">
        <v>0.56910000000000005</v>
      </c>
      <c r="F102" s="8">
        <v>0.52500000000000002</v>
      </c>
      <c r="G102" s="8">
        <v>0.61309999999999998</v>
      </c>
      <c r="H102" s="8">
        <v>3.1800000000000002E-2</v>
      </c>
      <c r="I102" s="12" t="str">
        <f t="shared" si="10"/>
        <v>56.9 (52.5 ~ 61.3)</v>
      </c>
      <c r="J102" s="8">
        <v>0.54849999999999999</v>
      </c>
      <c r="K102" s="8">
        <v>0.50380000000000003</v>
      </c>
      <c r="L102" s="8">
        <v>0.59319999999999995</v>
      </c>
      <c r="M102" s="8">
        <v>3.2199999999999999E-2</v>
      </c>
      <c r="N102" s="12" t="str">
        <f t="shared" si="11"/>
        <v>54.9 (50.4 ~ 59.3)</v>
      </c>
      <c r="O102" s="8">
        <v>0.58289999999999997</v>
      </c>
      <c r="P102" s="8">
        <v>0.52810000000000001</v>
      </c>
      <c r="Q102" s="8">
        <v>0.63780000000000003</v>
      </c>
      <c r="R102" s="8">
        <v>3.95E-2</v>
      </c>
      <c r="S102" s="12" t="str">
        <f t="shared" si="12"/>
        <v>58.3 (52.8 ~ 63.8)</v>
      </c>
      <c r="T102" s="8">
        <v>0.78249999999999997</v>
      </c>
      <c r="U102" s="8">
        <v>0.75900000000000001</v>
      </c>
      <c r="V102" s="8">
        <v>0.80600000000000005</v>
      </c>
      <c r="W102" s="8">
        <v>1.6899999999999998E-2</v>
      </c>
      <c r="X102" s="12" t="str">
        <f t="shared" si="13"/>
        <v>78.3 (75.9 ~ 80.6)</v>
      </c>
      <c r="Y102" s="8">
        <v>0.62690000000000001</v>
      </c>
      <c r="Z102" s="8">
        <v>0.5978</v>
      </c>
      <c r="AA102" s="8">
        <v>0.65600000000000003</v>
      </c>
      <c r="AB102" s="8">
        <v>2.1000000000000001E-2</v>
      </c>
      <c r="AC102" s="12" t="str">
        <f t="shared" si="14"/>
        <v>62.7 (59.8 ~ 65.6)</v>
      </c>
    </row>
    <row r="103" spans="1:29" x14ac:dyDescent="0.25">
      <c r="A103" s="8" t="s">
        <v>376</v>
      </c>
      <c r="B103" s="8" t="s">
        <v>124</v>
      </c>
      <c r="C103" s="8" t="s">
        <v>182</v>
      </c>
      <c r="D103" s="8">
        <v>5</v>
      </c>
      <c r="E103" s="8">
        <v>0.62590000000000001</v>
      </c>
      <c r="F103" s="8">
        <v>0.50860000000000005</v>
      </c>
      <c r="G103" s="8">
        <v>0.74329999999999996</v>
      </c>
      <c r="H103" s="8">
        <v>8.4599999999999995E-2</v>
      </c>
      <c r="I103" s="12" t="str">
        <f t="shared" si="10"/>
        <v>62.6 (50.9 ~ 74.3)</v>
      </c>
      <c r="J103" s="8">
        <v>0.55149999999999999</v>
      </c>
      <c r="K103" s="8">
        <v>0.46500000000000002</v>
      </c>
      <c r="L103" s="8">
        <v>0.63800000000000001</v>
      </c>
      <c r="M103" s="8">
        <v>6.2300000000000001E-2</v>
      </c>
      <c r="N103" s="12" t="str">
        <f t="shared" si="11"/>
        <v>55.2 (46.5 ~ 63.8)</v>
      </c>
      <c r="O103" s="8">
        <v>0.60719999999999996</v>
      </c>
      <c r="P103" s="8">
        <v>0.48509999999999998</v>
      </c>
      <c r="Q103" s="8">
        <v>0.72940000000000005</v>
      </c>
      <c r="R103" s="8">
        <v>8.7999999999999995E-2</v>
      </c>
      <c r="S103" s="12" t="str">
        <f t="shared" si="12"/>
        <v>60.7 (48.5 ~ 72.9)</v>
      </c>
      <c r="T103" s="8">
        <v>0.77039999999999997</v>
      </c>
      <c r="U103" s="8">
        <v>0.70950000000000002</v>
      </c>
      <c r="V103" s="8">
        <v>0.83130000000000004</v>
      </c>
      <c r="W103" s="8">
        <v>4.3900000000000002E-2</v>
      </c>
      <c r="X103" s="12" t="str">
        <f t="shared" si="13"/>
        <v>77 (71 ~ 83.1)</v>
      </c>
      <c r="Y103" s="8">
        <v>0.61609999999999998</v>
      </c>
      <c r="Z103" s="8">
        <v>0.55730000000000002</v>
      </c>
      <c r="AA103" s="8">
        <v>0.67490000000000006</v>
      </c>
      <c r="AB103" s="8">
        <v>4.24E-2</v>
      </c>
      <c r="AC103" s="12" t="str">
        <f t="shared" si="14"/>
        <v>61.6 (55.7 ~ 67.5)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95C626CCE4B449E545EEC892BBCFA" ma:contentTypeVersion="12" ma:contentTypeDescription="Create a new document." ma:contentTypeScope="" ma:versionID="8bd3e1af5b3741b1c0ab0efc01909e9b">
  <xsd:schema xmlns:xsd="http://www.w3.org/2001/XMLSchema" xmlns:xs="http://www.w3.org/2001/XMLSchema" xmlns:p="http://schemas.microsoft.com/office/2006/metadata/properties" xmlns:ns2="b019dcc9-cfc8-400d-b696-bdbbc1c49ef2" xmlns:ns3="c2b53b0c-fec2-44ca-89f7-2555e448e9d5" targetNamespace="http://schemas.microsoft.com/office/2006/metadata/properties" ma:root="true" ma:fieldsID="40914927dd17d867a257da0571efe2f5" ns2:_="" ns3:_="">
    <xsd:import namespace="b019dcc9-cfc8-400d-b696-bdbbc1c49ef2"/>
    <xsd:import namespace="c2b53b0c-fec2-44ca-89f7-2555e448e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kwizcomcontroller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9dcc9-cfc8-400d-b696-bdbbc1c49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kwizcomcontrollerfield" ma:index="19" nillable="true" ma:displayName="kwizcomcontrollerfield" ma:internalName="kwizcomcontrollerfield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53b0c-fec2-44ca-89f7-2555e448e9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ccc84b-de00-48e3-bb1c-854e3e2ec809}" ma:internalName="TaxCatchAll" ma:showField="CatchAllData" ma:web="c2b53b0c-fec2-44ca-89f7-2555e448e9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b53b0c-fec2-44ca-89f7-2555e448e9d5" xsi:nil="true"/>
    <lcf76f155ced4ddcb4097134ff3c332f xmlns="b019dcc9-cfc8-400d-b696-bdbbc1c49ef2">
      <Terms xmlns="http://schemas.microsoft.com/office/infopath/2007/PartnerControls"/>
    </lcf76f155ced4ddcb4097134ff3c332f>
    <kwizcomcontrollerfield xmlns="b019dcc9-cfc8-400d-b696-bdbbc1c49ef2" xsi:nil="true"/>
  </documentManagement>
</p:properties>
</file>

<file path=customXml/itemProps1.xml><?xml version="1.0" encoding="utf-8"?>
<ds:datastoreItem xmlns:ds="http://schemas.openxmlformats.org/officeDocument/2006/customXml" ds:itemID="{90C98032-62A9-41F9-9259-FF135451A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19dcc9-cfc8-400d-b696-bdbbc1c49ef2"/>
    <ds:schemaRef ds:uri="c2b53b0c-fec2-44ca-89f7-2555e448e9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A01B5-F994-4F8F-BF7F-C5C72288C8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97F5D2-8CB7-41F7-924A-B9A56AA75A90}">
  <ds:schemaRefs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c2b53b0c-fec2-44ca-89f7-2555e448e9d5"/>
    <ds:schemaRef ds:uri="http://purl.org/dc/elements/1.1/"/>
    <ds:schemaRef ds:uri="b019dcc9-cfc8-400d-b696-bdbbc1c49ef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Table1</vt:lpstr>
      <vt:lpstr>Table2</vt:lpstr>
      <vt:lpstr>Figure3</vt:lpstr>
      <vt:lpstr>Figure4</vt:lpstr>
      <vt:lpstr>Figure4_raw</vt:lpstr>
      <vt:lpstr>Figure5</vt:lpstr>
      <vt:lpstr>Figure5_raw</vt:lpstr>
      <vt:lpstr>Table3_AB</vt:lpstr>
      <vt:lpstr>AB_topK_CLS_raw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Tien-Yu</cp:lastModifiedBy>
  <cp:revision/>
  <dcterms:created xsi:type="dcterms:W3CDTF">2026-02-19T20:34:34Z</dcterms:created>
  <dcterms:modified xsi:type="dcterms:W3CDTF">2026-06-15T14:30:07Z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0x010100A9095C626CCE4B449E545EEC892BBCFA</vt:lpwstr>
  </property>
  <property fmtid="{D5CDD505-2E9C-101B-9397-08002B2CF9AE}" pid="3" name="MediaServiceImageTags">
    <vt:lpwstr/>
  </property>
</Properties>
</file>